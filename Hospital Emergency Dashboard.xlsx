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B6BC1338-C79E-40CA-9CBC-3BBB763A842B}" xr6:coauthVersionLast="47" xr6:coauthVersionMax="47" xr10:uidLastSave="{00000000-0000-0000-0000-000000000000}"/>
  <bookViews>
    <workbookView xWindow="-108" yWindow="-108" windowWidth="23256" windowHeight="13896" activeTab="1" xr2:uid="{1A2E8153-18A6-4619-844B-799E17DC270C}"/>
  </bookViews>
  <sheets>
    <sheet name="pivot Report" sheetId="1" r:id="rId1"/>
    <sheet name="Dashboard" sheetId="2" r:id="rId2"/>
    <sheet name="Average wait time daily trend" sheetId="5" r:id="rId3"/>
    <sheet name="Daily EV No.of patient" sheetId="3" r:id="rId4"/>
    <sheet name="satisfaction scores daily" sheetId="6" r:id="rId5"/>
  </sheets>
  <definedNames>
    <definedName name="Slicer_Date__Month">#N/A</definedName>
    <definedName name="Slicer_Date__Year">#N/A</definedName>
  </definedNames>
  <calcPr calcId="191029"/>
  <pivotCaches>
    <pivotCache cacheId="2026" r:id="rId6"/>
    <pivotCache cacheId="2029" r:id="rId7"/>
    <pivotCache cacheId="2032" r:id="rId8"/>
    <pivotCache cacheId="2035" r:id="rId9"/>
    <pivotCache cacheId="2038" r:id="rId10"/>
    <pivotCache cacheId="2041" r:id="rId11"/>
    <pivotCache cacheId="2044" r:id="rId12"/>
    <pivotCache cacheId="2047" r:id="rId13"/>
    <pivotCache cacheId="2050" r:id="rId14"/>
    <pivotCache cacheId="2053" r:id="rId15"/>
    <pivotCache cacheId="2056" r:id="rId16"/>
    <pivotCache cacheId="2059" r:id="rId17"/>
  </pivotCaches>
  <extLst>
    <ext xmlns:x14="http://schemas.microsoft.com/office/spreadsheetml/2009/9/main" uri="{876F7934-8845-4945-9796-88D515C7AA90}">
      <x14:pivotCaches>
        <pivotCache cacheId="536"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3e966bd-7b1d-40b1-8f0c-a1f5c72726c2" name="Hospital Emergency Room Data" connection="Query - Hospital Emergency Room Data"/>
          <x15:modelTable id="Calendar_Table_656ed33d-d60c-476b-8154-d81a58c15dc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5" i="1" l="1"/>
  <c r="A54" i="1"/>
  <c r="C54" i="1" l="1"/>
  <c r="B55" i="1"/>
  <c r="B54" i="1"/>
  <c r="A5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747A2A-5785-4D7F-8B70-838773D3C3D5}" name="Query - Calendar_Table" description="Connection to the 'Calendar_Table' query in the workbook." type="100" refreshedVersion="8" minRefreshableVersion="5">
    <extLst>
      <ext xmlns:x15="http://schemas.microsoft.com/office/spreadsheetml/2010/11/main" uri="{DE250136-89BD-433C-8126-D09CA5730AF9}">
        <x15:connection id="94ac3b36-3f25-4ecb-8853-a4249f21f94b"/>
      </ext>
    </extLst>
  </connection>
  <connection id="2" xr16:uid="{C1507524-1564-452A-8BA1-2D4B3AFDFBC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d15ac0d-3ecc-4f4f-8ff6-9e848fd6c404"/>
      </ext>
    </extLst>
  </connection>
  <connection id="3" xr16:uid="{C318B054-C49F-444A-BA52-DECBC365983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<sst xmlns="http://schemas.openxmlformats.org/spreadsheetml/2006/main" count="156" uniqueCount="74">
  <si>
    <t>Distinct Count of Patient Id</t>
  </si>
  <si>
    <t>No.of patient</t>
  </si>
  <si>
    <t>Average of Patient Waittime</t>
  </si>
  <si>
    <t>Average of Patient Satisfaction Score</t>
  </si>
  <si>
    <t>Row Labels</t>
  </si>
  <si>
    <t>Grand Total</t>
  </si>
  <si>
    <t>daily trends of no of patient</t>
  </si>
  <si>
    <t>average wait time</t>
  </si>
  <si>
    <t>satisfaction score daily trend</t>
  </si>
  <si>
    <t>Admitted</t>
  </si>
  <si>
    <t>Not Admitted</t>
  </si>
  <si>
    <t>Count of Patient Admission Flag</t>
  </si>
  <si>
    <t>Count of Patient Admission Flag2</t>
  </si>
  <si>
    <t>Admission Status</t>
  </si>
  <si>
    <t>No.of Patient</t>
  </si>
  <si>
    <t>%status</t>
  </si>
  <si>
    <t>chart</t>
  </si>
  <si>
    <t>Patient</t>
  </si>
  <si>
    <t>0-09</t>
  </si>
  <si>
    <t>10-19</t>
  </si>
  <si>
    <t>20-29</t>
  </si>
  <si>
    <t>30-39</t>
  </si>
  <si>
    <t>40-49</t>
  </si>
  <si>
    <t>50-59</t>
  </si>
  <si>
    <t>60-69</t>
  </si>
  <si>
    <t>70-79</t>
  </si>
  <si>
    <t>Count of Age Group</t>
  </si>
  <si>
    <t>Count of Patient Id</t>
  </si>
  <si>
    <t>Ontime</t>
  </si>
  <si>
    <t>Delay</t>
  </si>
  <si>
    <t>Female</t>
  </si>
  <si>
    <t>Male</t>
  </si>
  <si>
    <t>Count of Patient Gender</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</si>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</sst>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name val="Calibri"/>
      <family val="2"/>
      <scheme val="minor"/>
    </font>
    <font>
      <sz val="8"/>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1" fontId="0" fillId="0" borderId="0" xfId="0" applyNumberFormat="1"/>
    <xf numFmtId="10" fontId="0" fillId="0" borderId="0" xfId="0" applyNumberFormat="1"/>
    <xf numFmtId="0" fontId="1" fillId="3" borderId="0" xfId="0" applyFont="1" applyFill="1" applyAlignment="1">
      <alignment horizontal="left"/>
    </xf>
    <xf numFmtId="0" fontId="1" fillId="3" borderId="0" xfId="0" applyFont="1" applyFill="1"/>
    <xf numFmtId="0" fontId="0" fillId="4" borderId="0" xfId="0" applyFill="1"/>
    <xf numFmtId="10" fontId="0" fillId="4" borderId="0" xfId="0" applyNumberFormat="1" applyFill="1"/>
    <xf numFmtId="1" fontId="0" fillId="4" borderId="0" xfId="0" applyNumberFormat="1" applyFill="1"/>
    <xf numFmtId="0" fontId="1" fillId="4" borderId="0" xfId="0" applyFont="1" applyFill="1"/>
    <xf numFmtId="0" fontId="0" fillId="0" borderId="0" xfId="0" applyNumberFormat="1"/>
    <xf numFmtId="1" fontId="0" fillId="0" borderId="0" xfId="0" pivotButton="1" applyNumberFormat="1"/>
    <xf numFmtId="1" fontId="0" fillId="0" borderId="0" xfId="0" applyNumberFormat="1" applyAlignment="1">
      <alignment horizontal="left"/>
    </xf>
  </cellXfs>
  <cellStyles count="1">
    <cellStyle name="Normal" xfId="0" builtinId="0"/>
  </cellStyles>
  <dxfs count="1645">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color theme="1"/>
      </font>
      <border>
        <bottom style="thin">
          <color theme="5"/>
        </bottom>
        <vertical/>
        <horizontal/>
      </border>
    </dxf>
    <dxf>
      <font>
        <sz val="8"/>
        <color theme="1"/>
      </font>
      <fill>
        <patternFill patternType="solid">
          <fgColor theme="5" tint="-0.24994659260841701"/>
          <bgColor theme="0"/>
        </patternFill>
      </fill>
      <border diagonalUp="0" diagonalDown="0">
        <left/>
        <right/>
        <top/>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 style" pivot="0" table="0" count="10" xr9:uid="{CE5BCE4D-16BA-4858-909B-1DA144B846EC}">
      <tableStyleElement type="wholeTable" dxfId="1585"/>
      <tableStyleElement type="headerRow" dxfId="1584"/>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99908541377882E-2"/>
          <c:y val="2.3147987558823865E-3"/>
          <c:w val="0.90591994750656168"/>
          <c:h val="0.52533097459733835"/>
        </c:manualLayout>
      </c:layout>
      <c:areaChart>
        <c:grouping val="standard"/>
        <c:varyColors val="0"/>
        <c:ser>
          <c:idx val="0"/>
          <c:order val="0"/>
          <c:tx>
            <c:strRef>
              <c:f>'pivot Report'!$E$15</c:f>
              <c:strCache>
                <c:ptCount val="1"/>
                <c:pt idx="0">
                  <c:v>Total</c:v>
                </c:pt>
              </c:strCache>
            </c:strRef>
          </c:tx>
          <c:spPr>
            <a:solidFill>
              <a:schemeClr val="accent1"/>
            </a:solidFill>
            <a:ln w="25400">
              <a:noFill/>
            </a:ln>
            <a:effectLst/>
          </c:spPr>
          <c:cat>
            <c:strRef>
              <c:f>'pivot Report'!$D$16:$D$47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Report'!$E$16:$E$47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7-A253-4804-A32C-BF4E9505EC89}"/>
            </c:ext>
          </c:extLst>
        </c:ser>
        <c:dLbls>
          <c:showLegendKey val="0"/>
          <c:showVal val="0"/>
          <c:showCatName val="0"/>
          <c:showSerName val="0"/>
          <c:showPercent val="0"/>
          <c:showBubbleSize val="0"/>
        </c:dLbls>
        <c:axId val="783277311"/>
        <c:axId val="877760111"/>
      </c:areaChart>
      <c:catAx>
        <c:axId val="78327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877760111"/>
        <c:crosses val="autoZero"/>
        <c:auto val="1"/>
        <c:lblAlgn val="ctr"/>
        <c:lblOffset val="100"/>
        <c:noMultiLvlLbl val="0"/>
      </c:catAx>
      <c:valAx>
        <c:axId val="877760111"/>
        <c:scaling>
          <c:orientation val="minMax"/>
        </c:scaling>
        <c:delete val="1"/>
        <c:axPos val="l"/>
        <c:numFmt formatCode="General" sourceLinked="1"/>
        <c:majorTickMark val="none"/>
        <c:minorTickMark val="none"/>
        <c:tickLblPos val="nextTo"/>
        <c:crossAx val="7832773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10"/>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10328638497652583"/>
          <c:w val="0.93888888888888888"/>
          <c:h val="0.65217493880680644"/>
        </c:manualLayout>
      </c:layout>
      <c:areaChart>
        <c:grouping val="standard"/>
        <c:varyColors val="0"/>
        <c:ser>
          <c:idx val="0"/>
          <c:order val="0"/>
          <c:tx>
            <c:strRef>
              <c:f>'pivot Report'!$K$8</c:f>
              <c:strCache>
                <c:ptCount val="1"/>
                <c:pt idx="0">
                  <c:v>Total</c:v>
                </c:pt>
              </c:strCache>
            </c:strRef>
          </c:tx>
          <c:spPr>
            <a:solidFill>
              <a:schemeClr val="accent1"/>
            </a:solidFill>
            <a:ln w="25400">
              <a:noFill/>
            </a:ln>
            <a:effectLst/>
          </c:spPr>
          <c:cat>
            <c:strRef>
              <c:f>'pivot Report'!$J$9:$J$40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Report'!$K$9:$K$40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B5A2-4FE3-BDD8-55D6CA8C2ABF}"/>
            </c:ext>
          </c:extLst>
        </c:ser>
        <c:dLbls>
          <c:showLegendKey val="0"/>
          <c:showVal val="0"/>
          <c:showCatName val="0"/>
          <c:showSerName val="0"/>
          <c:showPercent val="0"/>
          <c:showBubbleSize val="0"/>
        </c:dLbls>
        <c:axId val="1478792319"/>
        <c:axId val="877757711"/>
      </c:areaChart>
      <c:catAx>
        <c:axId val="1478792319"/>
        <c:scaling>
          <c:orientation val="minMax"/>
        </c:scaling>
        <c:delete val="1"/>
        <c:axPos val="b"/>
        <c:numFmt formatCode="General" sourceLinked="1"/>
        <c:majorTickMark val="out"/>
        <c:minorTickMark val="none"/>
        <c:tickLblPos val="nextTo"/>
        <c:crossAx val="877757711"/>
        <c:crosses val="autoZero"/>
        <c:auto val="1"/>
        <c:lblAlgn val="ctr"/>
        <c:lblOffset val="100"/>
        <c:noMultiLvlLbl val="0"/>
      </c:catAx>
      <c:valAx>
        <c:axId val="877757711"/>
        <c:scaling>
          <c:orientation val="minMax"/>
        </c:scaling>
        <c:delete val="1"/>
        <c:axPos val="l"/>
        <c:numFmt formatCode="0.00" sourceLinked="1"/>
        <c:majorTickMark val="none"/>
        <c:minorTickMark val="none"/>
        <c:tickLblPos val="nextTo"/>
        <c:crossAx val="147879231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3"/>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692307692307696E-2"/>
          <c:y val="0"/>
          <c:w val="0.92948717948717952"/>
          <c:h val="0.28104575163398693"/>
        </c:manualLayout>
      </c:layout>
      <c:areaChart>
        <c:grouping val="standard"/>
        <c:varyColors val="0"/>
        <c:ser>
          <c:idx val="0"/>
          <c:order val="0"/>
          <c:tx>
            <c:strRef>
              <c:f>'pivot Report'!$O$12</c:f>
              <c:strCache>
                <c:ptCount val="1"/>
                <c:pt idx="0">
                  <c:v>Total</c:v>
                </c:pt>
              </c:strCache>
            </c:strRef>
          </c:tx>
          <c:spPr>
            <a:solidFill>
              <a:schemeClr val="accent1"/>
            </a:solidFill>
            <a:ln w="25400">
              <a:noFill/>
            </a:ln>
            <a:effectLst/>
          </c:spPr>
          <c:cat>
            <c:strRef>
              <c:f>'pivot Report'!$N$13:$N$44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Report'!$O$13:$O$44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7-F8BA-4908-BBA7-38BBF606787F}"/>
            </c:ext>
          </c:extLst>
        </c:ser>
        <c:dLbls>
          <c:showLegendKey val="0"/>
          <c:showVal val="0"/>
          <c:showCatName val="0"/>
          <c:showSerName val="0"/>
          <c:showPercent val="0"/>
          <c:showBubbleSize val="0"/>
        </c:dLbls>
        <c:axId val="1667617663"/>
        <c:axId val="877734671"/>
      </c:areaChart>
      <c:catAx>
        <c:axId val="1667617663"/>
        <c:scaling>
          <c:orientation val="minMax"/>
        </c:scaling>
        <c:delete val="1"/>
        <c:axPos val="b"/>
        <c:numFmt formatCode="General" sourceLinked="1"/>
        <c:majorTickMark val="out"/>
        <c:minorTickMark val="none"/>
        <c:tickLblPos val="nextTo"/>
        <c:crossAx val="877734671"/>
        <c:crosses val="autoZero"/>
        <c:auto val="1"/>
        <c:lblAlgn val="ctr"/>
        <c:lblOffset val="100"/>
        <c:noMultiLvlLbl val="0"/>
      </c:catAx>
      <c:valAx>
        <c:axId val="877734671"/>
        <c:scaling>
          <c:orientation val="minMax"/>
        </c:scaling>
        <c:delete val="1"/>
        <c:axPos val="l"/>
        <c:numFmt formatCode="0.00" sourceLinked="1"/>
        <c:majorTickMark val="none"/>
        <c:minorTickMark val="none"/>
        <c:tickLblPos val="nextTo"/>
        <c:crossAx val="1667617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142CB17-3F88-4938-8866-B30C76E110CB}" type="CELLRANGE">
                  <a:rPr lang="en-IN"/>
                  <a:pPr>
                    <a:defRPr sz="9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manualLayout>
          <c:layoutTarget val="inner"/>
          <c:xMode val="edge"/>
          <c:yMode val="edge"/>
          <c:x val="1.9400592167358385E-3"/>
          <c:y val="0"/>
          <c:w val="0.67110407927980964"/>
          <c:h val="0.86208972589766486"/>
        </c:manualLayout>
      </c:layout>
      <c:barChart>
        <c:barDir val="bar"/>
        <c:grouping val="clustered"/>
        <c:varyColors val="0"/>
        <c:ser>
          <c:idx val="0"/>
          <c:order val="0"/>
          <c:tx>
            <c:strRef>
              <c:f>'pivot Report'!$C$20:$C$21</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dPt>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Report'!$C$20:$C$21</c:f>
              <c:strCache>
                <c:ptCount val="2"/>
                <c:pt idx="0">
                  <c:v>Admitted</c:v>
                </c:pt>
                <c:pt idx="1">
                  <c:v>Not Admitted</c:v>
                </c:pt>
              </c:strCache>
            </c:strRef>
          </c:cat>
          <c:val>
            <c:numRef>
              <c:f>'pivot Report'!$C$20:$C$21</c:f>
              <c:numCache>
                <c:formatCode>0</c:formatCode>
                <c:ptCount val="2"/>
                <c:pt idx="0">
                  <c:v>269</c:v>
                </c:pt>
                <c:pt idx="1">
                  <c:v>244</c:v>
                </c:pt>
              </c:numCache>
            </c:numRef>
          </c:val>
          <c:extLst>
            <c:ext xmlns:c16="http://schemas.microsoft.com/office/drawing/2014/chart" uri="{C3380CC4-5D6E-409C-BE32-E72D297353CC}">
              <c16:uniqueId val="{0000000D-BC06-443E-A2CF-7730D699C808}"/>
            </c:ext>
          </c:extLst>
        </c:ser>
        <c:ser>
          <c:idx val="1"/>
          <c:order val="1"/>
          <c:tx>
            <c:strRef>
              <c:f>'pivot Report'!$C$20:$C$21</c:f>
              <c:strCache>
                <c:ptCount val="1"/>
                <c:pt idx="0">
                  <c:v>Count of Patient Admission Flag2</c:v>
                </c:pt>
              </c:strCache>
            </c:strRef>
          </c:tx>
          <c:spPr>
            <a:solidFill>
              <a:schemeClr val="accent2"/>
            </a:solidFill>
            <a:ln>
              <a:noFill/>
            </a:ln>
            <a:effectLst/>
          </c:spPr>
          <c:invertIfNegative val="0"/>
          <c:cat>
            <c:strRef>
              <c:f>'pivot Report'!$C$20:$C$21</c:f>
              <c:strCache>
                <c:ptCount val="2"/>
                <c:pt idx="0">
                  <c:v>Admitted</c:v>
                </c:pt>
                <c:pt idx="1">
                  <c:v>Not Admitted</c:v>
                </c:pt>
              </c:strCache>
            </c:strRef>
          </c:cat>
          <c:val>
            <c:numRef>
              <c:f>'pivot Report'!$C$20:$C$21</c:f>
              <c:numCache>
                <c:formatCode>0.00%</c:formatCode>
                <c:ptCount val="2"/>
                <c:pt idx="0">
                  <c:v>0.52436647173489281</c:v>
                </c:pt>
                <c:pt idx="1">
                  <c:v>0.47563352826510719</c:v>
                </c:pt>
              </c:numCache>
            </c:numRef>
          </c:val>
          <c:extLst>
            <c:ext xmlns:c16="http://schemas.microsoft.com/office/drawing/2014/chart" uri="{C3380CC4-5D6E-409C-BE32-E72D297353CC}">
              <c16:uniqueId val="{0000000E-BC06-443E-A2CF-7730D699C808}"/>
            </c:ext>
          </c:extLst>
        </c:ser>
        <c:dLbls>
          <c:showLegendKey val="0"/>
          <c:showVal val="0"/>
          <c:showCatName val="0"/>
          <c:showSerName val="0"/>
          <c:showPercent val="0"/>
          <c:showBubbleSize val="0"/>
        </c:dLbls>
        <c:gapWidth val="0"/>
        <c:axId val="1667535999"/>
        <c:axId val="877794191"/>
      </c:barChart>
      <c:catAx>
        <c:axId val="1667535999"/>
        <c:scaling>
          <c:orientation val="minMax"/>
        </c:scaling>
        <c:delete val="1"/>
        <c:axPos val="l"/>
        <c:numFmt formatCode="General" sourceLinked="1"/>
        <c:majorTickMark val="none"/>
        <c:minorTickMark val="none"/>
        <c:tickLblPos val="nextTo"/>
        <c:crossAx val="877794191"/>
        <c:crosses val="autoZero"/>
        <c:auto val="1"/>
        <c:lblAlgn val="ctr"/>
        <c:lblOffset val="100"/>
        <c:noMultiLvlLbl val="0"/>
      </c:catAx>
      <c:valAx>
        <c:axId val="877794191"/>
        <c:scaling>
          <c:orientation val="minMax"/>
        </c:scaling>
        <c:delete val="1"/>
        <c:axPos val="b"/>
        <c:numFmt formatCode="0" sourceLinked="1"/>
        <c:majorTickMark val="none"/>
        <c:minorTickMark val="none"/>
        <c:tickLblPos val="nextTo"/>
        <c:crossAx val="1667535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2.5428331875182269E-2"/>
          <c:w val="0.77378937007874016"/>
          <c:h val="0.53774387576552929"/>
        </c:manualLayout>
      </c:layout>
      <c:barChart>
        <c:barDir val="col"/>
        <c:grouping val="clustered"/>
        <c:varyColors val="0"/>
        <c:ser>
          <c:idx val="0"/>
          <c:order val="0"/>
          <c:tx>
            <c:strRef>
              <c:f>'pivot Report'!$M$136</c:f>
              <c:strCache>
                <c:ptCount val="1"/>
                <c:pt idx="0">
                  <c:v>Total</c:v>
                </c:pt>
              </c:strCache>
            </c:strRef>
          </c:tx>
          <c:spPr>
            <a:solidFill>
              <a:schemeClr val="accent1"/>
            </a:solidFill>
            <a:ln>
              <a:noFill/>
            </a:ln>
            <a:effectLst/>
          </c:spPr>
          <c:invertIfNegative val="0"/>
          <c:cat>
            <c:strRef>
              <c:f>'pivot Report'!$L$137:$L$145</c:f>
              <c:strCache>
                <c:ptCount val="8"/>
                <c:pt idx="0">
                  <c:v>0-09</c:v>
                </c:pt>
                <c:pt idx="1">
                  <c:v>10-19</c:v>
                </c:pt>
                <c:pt idx="2">
                  <c:v>20-29</c:v>
                </c:pt>
                <c:pt idx="3">
                  <c:v>30-39</c:v>
                </c:pt>
                <c:pt idx="4">
                  <c:v>40-49</c:v>
                </c:pt>
                <c:pt idx="5">
                  <c:v>50-59</c:v>
                </c:pt>
                <c:pt idx="6">
                  <c:v>60-69</c:v>
                </c:pt>
                <c:pt idx="7">
                  <c:v>70-79</c:v>
                </c:pt>
              </c:strCache>
            </c:strRef>
          </c:cat>
          <c:val>
            <c:numRef>
              <c:f>'pivot Report'!$M$137:$M$145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8-AE4D-4217-B603-E0FFB7A47D2A}"/>
            </c:ext>
          </c:extLst>
        </c:ser>
        <c:dLbls>
          <c:showLegendKey val="0"/>
          <c:showVal val="0"/>
          <c:showCatName val="0"/>
          <c:showSerName val="0"/>
          <c:showPercent val="0"/>
          <c:showBubbleSize val="0"/>
        </c:dLbls>
        <c:gapWidth val="219"/>
        <c:overlap val="-27"/>
        <c:axId val="736941552"/>
        <c:axId val="725494832"/>
      </c:barChart>
      <c:catAx>
        <c:axId val="7369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94832"/>
        <c:crosses val="autoZero"/>
        <c:auto val="1"/>
        <c:lblAlgn val="ctr"/>
        <c:lblOffset val="100"/>
        <c:noMultiLvlLbl val="0"/>
      </c:catAx>
      <c:valAx>
        <c:axId val="725494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6941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051673096713645E-2"/>
          <c:y val="0.23497263316516179"/>
          <c:w val="0.90591994750656168"/>
          <c:h val="0.52533097459733835"/>
        </c:manualLayout>
      </c:layout>
      <c:areaChart>
        <c:grouping val="standard"/>
        <c:varyColors val="0"/>
        <c:ser>
          <c:idx val="0"/>
          <c:order val="0"/>
          <c:tx>
            <c:strRef>
              <c:f>'pivot Report'!$E$15</c:f>
              <c:strCache>
                <c:ptCount val="1"/>
                <c:pt idx="0">
                  <c:v>Total</c:v>
                </c:pt>
              </c:strCache>
            </c:strRef>
          </c:tx>
          <c:spPr>
            <a:solidFill>
              <a:schemeClr val="accent1"/>
            </a:solidFill>
            <a:ln w="25400">
              <a:noFill/>
            </a:ln>
            <a:effectLst/>
          </c:spPr>
          <c:cat>
            <c:strRef>
              <c:f>'pivot Report'!$D$16:$D$47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Report'!$E$16:$E$47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7-B367-4547-A36A-85E6B98D1E2C}"/>
            </c:ext>
          </c:extLst>
        </c:ser>
        <c:dLbls>
          <c:showLegendKey val="0"/>
          <c:showVal val="0"/>
          <c:showCatName val="0"/>
          <c:showSerName val="0"/>
          <c:showPercent val="0"/>
          <c:showBubbleSize val="0"/>
        </c:dLbls>
        <c:axId val="783277311"/>
        <c:axId val="877760111"/>
      </c:areaChart>
      <c:catAx>
        <c:axId val="783277311"/>
        <c:scaling>
          <c:orientation val="minMax"/>
        </c:scaling>
        <c:delete val="1"/>
        <c:axPos val="b"/>
        <c:numFmt formatCode="General" sourceLinked="1"/>
        <c:majorTickMark val="out"/>
        <c:minorTickMark val="none"/>
        <c:tickLblPos val="nextTo"/>
        <c:crossAx val="877760111"/>
        <c:crosses val="autoZero"/>
        <c:auto val="1"/>
        <c:lblAlgn val="ctr"/>
        <c:lblOffset val="100"/>
        <c:noMultiLvlLbl val="0"/>
      </c:catAx>
      <c:valAx>
        <c:axId val="877760111"/>
        <c:scaling>
          <c:orientation val="minMax"/>
        </c:scaling>
        <c:delete val="1"/>
        <c:axPos val="l"/>
        <c:numFmt formatCode="General" sourceLinked="1"/>
        <c:majorTickMark val="none"/>
        <c:minorTickMark val="none"/>
        <c:tickLblPos val="nextTo"/>
        <c:crossAx val="7832773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Report'!$K$8</c:f>
              <c:strCache>
                <c:ptCount val="1"/>
                <c:pt idx="0">
                  <c:v>Total</c:v>
                </c:pt>
              </c:strCache>
            </c:strRef>
          </c:tx>
          <c:spPr>
            <a:solidFill>
              <a:schemeClr val="accent1"/>
            </a:solidFill>
            <a:ln w="25400">
              <a:noFill/>
            </a:ln>
            <a:effectLst/>
          </c:spPr>
          <c:cat>
            <c:strRef>
              <c:f>'pivot Report'!$J$9:$J$40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Report'!$K$9:$K$40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5ED0-4AB4-9920-67EF5E90F4AC}"/>
            </c:ext>
          </c:extLst>
        </c:ser>
        <c:dLbls>
          <c:showLegendKey val="0"/>
          <c:showVal val="0"/>
          <c:showCatName val="0"/>
          <c:showSerName val="0"/>
          <c:showPercent val="0"/>
          <c:showBubbleSize val="0"/>
        </c:dLbls>
        <c:axId val="1478792319"/>
        <c:axId val="877757711"/>
      </c:areaChart>
      <c:catAx>
        <c:axId val="1478792319"/>
        <c:scaling>
          <c:orientation val="minMax"/>
        </c:scaling>
        <c:delete val="1"/>
        <c:axPos val="b"/>
        <c:numFmt formatCode="General" sourceLinked="1"/>
        <c:majorTickMark val="out"/>
        <c:minorTickMark val="none"/>
        <c:tickLblPos val="nextTo"/>
        <c:crossAx val="877757711"/>
        <c:crosses val="autoZero"/>
        <c:auto val="1"/>
        <c:lblAlgn val="ctr"/>
        <c:lblOffset val="100"/>
        <c:noMultiLvlLbl val="0"/>
      </c:catAx>
      <c:valAx>
        <c:axId val="8777577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78792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Report'!$O$12</c:f>
              <c:strCache>
                <c:ptCount val="1"/>
                <c:pt idx="0">
                  <c:v>Total</c:v>
                </c:pt>
              </c:strCache>
            </c:strRef>
          </c:tx>
          <c:spPr>
            <a:solidFill>
              <a:schemeClr val="accent1"/>
            </a:solidFill>
            <a:ln w="25400">
              <a:noFill/>
            </a:ln>
            <a:effectLst/>
          </c:spPr>
          <c:cat>
            <c:strRef>
              <c:f>'pivot Report'!$N$13:$N$44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Report'!$O$13:$O$44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7-7C9A-4D69-967E-E6C3BD5851B8}"/>
            </c:ext>
          </c:extLst>
        </c:ser>
        <c:dLbls>
          <c:showLegendKey val="0"/>
          <c:showVal val="0"/>
          <c:showCatName val="0"/>
          <c:showSerName val="0"/>
          <c:showPercent val="0"/>
          <c:showBubbleSize val="0"/>
        </c:dLbls>
        <c:axId val="1667617663"/>
        <c:axId val="877734671"/>
      </c:areaChart>
      <c:catAx>
        <c:axId val="1667617663"/>
        <c:scaling>
          <c:orientation val="minMax"/>
        </c:scaling>
        <c:delete val="1"/>
        <c:axPos val="b"/>
        <c:numFmt formatCode="General" sourceLinked="1"/>
        <c:majorTickMark val="out"/>
        <c:minorTickMark val="none"/>
        <c:tickLblPos val="nextTo"/>
        <c:crossAx val="877734671"/>
        <c:crosses val="autoZero"/>
        <c:auto val="1"/>
        <c:lblAlgn val="ctr"/>
        <c:lblOffset val="100"/>
        <c:noMultiLvlLbl val="0"/>
      </c:catAx>
      <c:valAx>
        <c:axId val="877734671"/>
        <c:scaling>
          <c:orientation val="minMax"/>
        </c:scaling>
        <c:delete val="1"/>
        <c:axPos val="l"/>
        <c:numFmt formatCode="0.00" sourceLinked="1"/>
        <c:majorTickMark val="none"/>
        <c:minorTickMark val="none"/>
        <c:tickLblPos val="nextTo"/>
        <c:crossAx val="16676176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486897433699461E-2"/>
          <c:y val="0.10660573352360979"/>
          <c:w val="0.90964116482046598"/>
          <c:h val="0.66051879145633985"/>
        </c:manualLayout>
      </c:layout>
      <c:barChart>
        <c:barDir val="col"/>
        <c:grouping val="clustered"/>
        <c:varyColors val="0"/>
        <c:ser>
          <c:idx val="0"/>
          <c:order val="0"/>
          <c:tx>
            <c:strRef>
              <c:f>'pivot Report'!$M$136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Report'!$L$137:$L$145</c:f>
              <c:strCache>
                <c:ptCount val="8"/>
                <c:pt idx="0">
                  <c:v>0-09</c:v>
                </c:pt>
                <c:pt idx="1">
                  <c:v>10-19</c:v>
                </c:pt>
                <c:pt idx="2">
                  <c:v>20-29</c:v>
                </c:pt>
                <c:pt idx="3">
                  <c:v>30-39</c:v>
                </c:pt>
                <c:pt idx="4">
                  <c:v>40-49</c:v>
                </c:pt>
                <c:pt idx="5">
                  <c:v>50-59</c:v>
                </c:pt>
                <c:pt idx="6">
                  <c:v>60-69</c:v>
                </c:pt>
                <c:pt idx="7">
                  <c:v>70-79</c:v>
                </c:pt>
              </c:strCache>
            </c:strRef>
          </c:cat>
          <c:val>
            <c:numRef>
              <c:f>'pivot Report'!$M$137:$M$145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8-3068-431E-AD76-ACEA500C05CC}"/>
            </c:ext>
          </c:extLst>
        </c:ser>
        <c:dLbls>
          <c:showLegendKey val="0"/>
          <c:showVal val="0"/>
          <c:showCatName val="0"/>
          <c:showSerName val="0"/>
          <c:showPercent val="0"/>
          <c:showBubbleSize val="0"/>
        </c:dLbls>
        <c:gapWidth val="219"/>
        <c:overlap val="-27"/>
        <c:axId val="736941552"/>
        <c:axId val="725494832"/>
      </c:barChart>
      <c:catAx>
        <c:axId val="7369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94832"/>
        <c:crosses val="autoZero"/>
        <c:auto val="1"/>
        <c:lblAlgn val="ctr"/>
        <c:lblOffset val="100"/>
        <c:noMultiLvlLbl val="0"/>
      </c:catAx>
      <c:valAx>
        <c:axId val="725494832"/>
        <c:scaling>
          <c:orientation val="minMax"/>
        </c:scaling>
        <c:delete val="1"/>
        <c:axPos val="l"/>
        <c:numFmt formatCode="0" sourceLinked="1"/>
        <c:majorTickMark val="none"/>
        <c:minorTickMark val="none"/>
        <c:tickLblPos val="nextTo"/>
        <c:crossAx val="7369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Report!PivotTable12</c:name>
    <c:fmtId val="16"/>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s>
    <c:plotArea>
      <c:layout>
        <c:manualLayout>
          <c:layoutTarget val="inner"/>
          <c:xMode val="edge"/>
          <c:yMode val="edge"/>
          <c:x val="0.22277517957086057"/>
          <c:y val="0.18666197975253093"/>
          <c:w val="0.54674050185942535"/>
          <c:h val="0.68288584485686377"/>
        </c:manualLayout>
      </c:layout>
      <c:pieChart>
        <c:varyColors val="1"/>
        <c:ser>
          <c:idx val="0"/>
          <c:order val="0"/>
          <c:tx>
            <c:strRef>
              <c:f>'pivot Report'!$C$203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Report'!$B$204:$B$206</c:f>
              <c:strCache>
                <c:ptCount val="2"/>
                <c:pt idx="0">
                  <c:v>Delay</c:v>
                </c:pt>
                <c:pt idx="1">
                  <c:v>Ontime</c:v>
                </c:pt>
              </c:strCache>
            </c:strRef>
          </c:cat>
          <c:val>
            <c:numRef>
              <c:f>'pivot Report'!$C$204:$C$206</c:f>
              <c:numCache>
                <c:formatCode>0</c:formatCode>
                <c:ptCount val="2"/>
                <c:pt idx="0">
                  <c:v>316</c:v>
                </c:pt>
                <c:pt idx="1">
                  <c:v>197</c:v>
                </c:pt>
              </c:numCache>
            </c:numRef>
          </c:val>
          <c:extLst>
            <c:ext xmlns:c16="http://schemas.microsoft.com/office/drawing/2014/chart" uri="{C3380CC4-5D6E-409C-BE32-E72D297353CC}">
              <c16:uniqueId val="{00000012-4FD2-4267-84D9-780A51B4347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0086946778534662E-3"/>
          <c:y val="1.0215214312535295E-2"/>
          <c:w val="0.91896264650887505"/>
          <c:h val="0.1876104677664634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Report!PivotTable13</c:name>
    <c:fmtId val="3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5902799812443256"/>
          <c:y val="0.27380681825560599"/>
          <c:w val="0.50208333333333333"/>
          <c:h val="0.6694444444444444"/>
        </c:manualLayout>
      </c:layout>
      <c:doughnutChart>
        <c:varyColors val="1"/>
        <c:ser>
          <c:idx val="0"/>
          <c:order val="0"/>
          <c:tx>
            <c:strRef>
              <c:f>'pivot Report'!$B$214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Report'!$A$215:$A$217</c:f>
              <c:strCache>
                <c:ptCount val="2"/>
                <c:pt idx="0">
                  <c:v>Female</c:v>
                </c:pt>
                <c:pt idx="1">
                  <c:v>Male</c:v>
                </c:pt>
              </c:strCache>
            </c:strRef>
          </c:cat>
          <c:val>
            <c:numRef>
              <c:f>'pivot Report'!$B$215:$B$217</c:f>
              <c:numCache>
                <c:formatCode>0</c:formatCode>
                <c:ptCount val="2"/>
                <c:pt idx="0">
                  <c:v>241</c:v>
                </c:pt>
                <c:pt idx="1">
                  <c:v>272</c:v>
                </c:pt>
              </c:numCache>
            </c:numRef>
          </c:val>
          <c:extLst>
            <c:ext xmlns:c16="http://schemas.microsoft.com/office/drawing/2014/chart" uri="{C3380CC4-5D6E-409C-BE32-E72D297353CC}">
              <c16:uniqueId val="{0000000B-972B-4CA1-8FF0-8A5D6549024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1.3888888888888889E-3"/>
          <c:y val="3.9818460192475756E-3"/>
          <c:w val="0.79861111111111116"/>
          <c:h val="0.163332239720034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Report!PivotTable13</c:name>
    <c:fmtId val="33"/>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dLbl>
          <c:idx val="0"/>
          <c:spPr>
            <a:noFill/>
            <a:ln>
              <a:noFill/>
            </a:ln>
            <a:effectLst>
              <a:outerShdw blurRad="50800" dist="50800" dir="5400000" algn="ctr" rotWithShape="0">
                <a:schemeClr val="bg1"/>
              </a:outerShdw>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dLbl>
      </c:pivotFmt>
    </c:pivotFmts>
    <c:plotArea>
      <c:layout>
        <c:manualLayout>
          <c:layoutTarget val="inner"/>
          <c:xMode val="edge"/>
          <c:yMode val="edge"/>
          <c:x val="0.16142532410419838"/>
          <c:y val="0.13413501795649505"/>
          <c:w val="0.59968627089321425"/>
          <c:h val="0.65339033512588152"/>
        </c:manualLayout>
      </c:layout>
      <c:doughnutChart>
        <c:varyColors val="1"/>
        <c:ser>
          <c:idx val="0"/>
          <c:order val="0"/>
          <c:tx>
            <c:strRef>
              <c:f>'pivot Report'!$B$214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Report'!$A$215:$A$217</c:f>
              <c:strCache>
                <c:ptCount val="2"/>
                <c:pt idx="0">
                  <c:v>Female</c:v>
                </c:pt>
                <c:pt idx="1">
                  <c:v>Male</c:v>
                </c:pt>
              </c:strCache>
            </c:strRef>
          </c:cat>
          <c:val>
            <c:numRef>
              <c:f>'pivot Report'!$B$215:$B$217</c:f>
              <c:numCache>
                <c:formatCode>0</c:formatCode>
                <c:ptCount val="2"/>
                <c:pt idx="0">
                  <c:v>241</c:v>
                </c:pt>
                <c:pt idx="1">
                  <c:v>272</c:v>
                </c:pt>
              </c:numCache>
            </c:numRef>
          </c:val>
          <c:extLst>
            <c:ext xmlns:c16="http://schemas.microsoft.com/office/drawing/2014/chart" uri="{C3380CC4-5D6E-409C-BE32-E72D297353CC}">
              <c16:uniqueId val="{0000000C-D122-4FBE-B1E1-A9829C83D276}"/>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1.3888888888888889E-3"/>
          <c:y val="3.9818460192475756E-3"/>
          <c:w val="0.3658675711355559"/>
          <c:h val="0.34170372713570646"/>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Report!PivotTable14</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153913441100822"/>
          <c:y val="1.0625095058754084E-2"/>
          <c:w val="0.6759872842707827"/>
          <c:h val="0.87822076020994644"/>
        </c:manualLayout>
      </c:layout>
      <c:barChart>
        <c:barDir val="bar"/>
        <c:grouping val="clustered"/>
        <c:varyColors val="0"/>
        <c:ser>
          <c:idx val="0"/>
          <c:order val="0"/>
          <c:tx>
            <c:strRef>
              <c:f>'pivot Report'!$G$265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Report'!$F$266:$F$274</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Report'!$G$266:$G$274</c:f>
              <c:numCache>
                <c:formatCode>0</c:formatCode>
                <c:ptCount val="8"/>
                <c:pt idx="0">
                  <c:v>14</c:v>
                </c:pt>
                <c:pt idx="1">
                  <c:v>4</c:v>
                </c:pt>
                <c:pt idx="2">
                  <c:v>103</c:v>
                </c:pt>
                <c:pt idx="3">
                  <c:v>9</c:v>
                </c:pt>
                <c:pt idx="4">
                  <c:v>299</c:v>
                </c:pt>
                <c:pt idx="5">
                  <c:v>65</c:v>
                </c:pt>
                <c:pt idx="6">
                  <c:v>14</c:v>
                </c:pt>
                <c:pt idx="7">
                  <c:v>5</c:v>
                </c:pt>
              </c:numCache>
            </c:numRef>
          </c:val>
          <c:extLst>
            <c:ext xmlns:c16="http://schemas.microsoft.com/office/drawing/2014/chart" uri="{C3380CC4-5D6E-409C-BE32-E72D297353CC}">
              <c16:uniqueId val="{00000008-C599-4BF4-9470-5DD61832A9E6}"/>
            </c:ext>
          </c:extLst>
        </c:ser>
        <c:dLbls>
          <c:showLegendKey val="0"/>
          <c:showVal val="0"/>
          <c:showCatName val="0"/>
          <c:showSerName val="0"/>
          <c:showPercent val="0"/>
          <c:showBubbleSize val="0"/>
        </c:dLbls>
        <c:gapWidth val="50"/>
        <c:axId val="1558724256"/>
        <c:axId val="655493712"/>
      </c:barChart>
      <c:catAx>
        <c:axId val="155872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55493712"/>
        <c:crosses val="autoZero"/>
        <c:auto val="1"/>
        <c:lblAlgn val="ctr"/>
        <c:lblOffset val="100"/>
        <c:noMultiLvlLbl val="0"/>
      </c:catAx>
      <c:valAx>
        <c:axId val="655493712"/>
        <c:scaling>
          <c:orientation val="minMax"/>
        </c:scaling>
        <c:delete val="1"/>
        <c:axPos val="b"/>
        <c:numFmt formatCode="0" sourceLinked="1"/>
        <c:majorTickMark val="none"/>
        <c:minorTickMark val="none"/>
        <c:tickLblPos val="nextTo"/>
        <c:crossAx val="155872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Report!PivotTable4</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Report'!$J$9:$J$40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Report'!$K$9:$K$40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7-6FF5-42BD-A1D5-9C880641C21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78792319"/>
        <c:axId val="877757711"/>
      </c:areaChart>
      <c:catAx>
        <c:axId val="14787923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7757711"/>
        <c:crosses val="autoZero"/>
        <c:auto val="1"/>
        <c:lblAlgn val="ctr"/>
        <c:lblOffset val="100"/>
        <c:noMultiLvlLbl val="0"/>
      </c:catAx>
      <c:valAx>
        <c:axId val="877757711"/>
        <c:scaling>
          <c:orientation val="minMax"/>
        </c:scaling>
        <c:delete val="1"/>
        <c:axPos val="l"/>
        <c:numFmt formatCode="0.00" sourceLinked="1"/>
        <c:majorTickMark val="out"/>
        <c:minorTickMark val="none"/>
        <c:tickLblPos val="nextTo"/>
        <c:crossAx val="147879231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Report!PivotTable5</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199912510936134E-2"/>
          <c:y val="0.20055268421843744"/>
          <c:w val="0.90591994750656168"/>
          <c:h val="0.6074904809434033"/>
        </c:manualLayout>
      </c:layout>
      <c:areaChart>
        <c:grouping val="standard"/>
        <c:varyColors val="0"/>
        <c:ser>
          <c:idx val="0"/>
          <c:order val="0"/>
          <c:tx>
            <c:strRef>
              <c:f>'pivot Report'!$E$15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Report'!$D$16:$D$47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Report'!$E$16:$E$47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6-1C0B-40B2-8839-2FA70AFD16DD}"/>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83277311"/>
        <c:axId val="877760111"/>
      </c:areaChart>
      <c:catAx>
        <c:axId val="7832773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7760111"/>
        <c:crosses val="autoZero"/>
        <c:auto val="1"/>
        <c:lblAlgn val="ctr"/>
        <c:lblOffset val="100"/>
        <c:noMultiLvlLbl val="0"/>
      </c:catAx>
      <c:valAx>
        <c:axId val="877760111"/>
        <c:scaling>
          <c:orientation val="minMax"/>
        </c:scaling>
        <c:delete val="1"/>
        <c:axPos val="l"/>
        <c:numFmt formatCode="General" sourceLinked="1"/>
        <c:majorTickMark val="out"/>
        <c:minorTickMark val="none"/>
        <c:tickLblPos val="nextTo"/>
        <c:crossAx val="7832773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Dashboard.xlsx]pivot Report!PivotTable6</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Report'!$O$12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Report'!$N$13:$N$44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Report'!$O$13:$O$44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6-F0F1-4F8E-BD22-5BC7DA00961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94332191"/>
        <c:axId val="877720751"/>
      </c:areaChart>
      <c:catAx>
        <c:axId val="1894332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7720751"/>
        <c:crosses val="autoZero"/>
        <c:auto val="1"/>
        <c:lblAlgn val="ctr"/>
        <c:lblOffset val="100"/>
        <c:noMultiLvlLbl val="0"/>
      </c:catAx>
      <c:valAx>
        <c:axId val="877720751"/>
        <c:scaling>
          <c:orientation val="minMax"/>
        </c:scaling>
        <c:delete val="1"/>
        <c:axPos val="l"/>
        <c:numFmt formatCode="0.00" sourceLinked="1"/>
        <c:majorTickMark val="out"/>
        <c:minorTickMark val="none"/>
        <c:tickLblPos val="nextTo"/>
        <c:crossAx val="18943321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Daily EV No.of patient'!A1"/><Relationship Id="rId13" Type="http://schemas.openxmlformats.org/officeDocument/2006/relationships/chart" Target="../charts/chart8.xml"/><Relationship Id="rId18" Type="http://schemas.openxmlformats.org/officeDocument/2006/relationships/chart" Target="../charts/chart12.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s daily'!A1"/><Relationship Id="rId17" Type="http://schemas.openxmlformats.org/officeDocument/2006/relationships/chart" Target="../charts/chart11.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image" Target="../media/image5.svg"/><Relationship Id="rId15" Type="http://schemas.openxmlformats.org/officeDocument/2006/relationships/chart" Target="../charts/chart9.xml"/><Relationship Id="rId10" Type="http://schemas.openxmlformats.org/officeDocument/2006/relationships/hyperlink" Target="#'Average wait time daily trend'!A1"/><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6.xml"/><Relationship Id="rId14" Type="http://schemas.openxmlformats.org/officeDocument/2006/relationships/image" Target="../media/image8.emf"/></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2" Type="http://schemas.openxmlformats.org/officeDocument/2006/relationships/image" Target="../media/image10.sv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oneCell">
    <xdr:from>
      <xdr:col>17</xdr:col>
      <xdr:colOff>579120</xdr:colOff>
      <xdr:row>0</xdr:row>
      <xdr:rowOff>0</xdr:rowOff>
    </xdr:from>
    <xdr:to>
      <xdr:col>21</xdr:col>
      <xdr:colOff>45720</xdr:colOff>
      <xdr:row>13</xdr:row>
      <xdr:rowOff>89535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ED1DAF7B-DC43-2C44-B18B-1DDECB8CC0F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3388340" y="0"/>
              <a:ext cx="19050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662940</xdr:colOff>
      <xdr:row>0</xdr:row>
      <xdr:rowOff>68580</xdr:rowOff>
    </xdr:from>
    <xdr:to>
      <xdr:col>6</xdr:col>
      <xdr:colOff>0</xdr:colOff>
      <xdr:row>9</xdr:row>
      <xdr:rowOff>152400</xdr:rowOff>
    </xdr:to>
    <xdr:graphicFrame macro="">
      <xdr:nvGraphicFramePr>
        <xdr:cNvPr id="3" name="Chart 2">
          <a:extLst>
            <a:ext uri="{FF2B5EF4-FFF2-40B4-BE49-F238E27FC236}">
              <a16:creationId xmlns:a16="http://schemas.microsoft.com/office/drawing/2014/main" id="{DB68B6CF-1017-C308-388E-A951F5DC6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0</xdr:row>
      <xdr:rowOff>0</xdr:rowOff>
    </xdr:from>
    <xdr:to>
      <xdr:col>7</xdr:col>
      <xdr:colOff>45720</xdr:colOff>
      <xdr:row>3</xdr:row>
      <xdr:rowOff>7620</xdr:rowOff>
    </xdr:to>
    <xdr:graphicFrame macro="">
      <xdr:nvGraphicFramePr>
        <xdr:cNvPr id="4" name="Chart 3">
          <a:extLst>
            <a:ext uri="{FF2B5EF4-FFF2-40B4-BE49-F238E27FC236}">
              <a16:creationId xmlns:a16="http://schemas.microsoft.com/office/drawing/2014/main" id="{42D6089F-3EEF-C290-1A46-65F2EF86B6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541020</xdr:colOff>
      <xdr:row>3</xdr:row>
      <xdr:rowOff>137160</xdr:rowOff>
    </xdr:from>
    <xdr:to>
      <xdr:col>10</xdr:col>
      <xdr:colOff>236220</xdr:colOff>
      <xdr:row>5</xdr:row>
      <xdr:rowOff>160020</xdr:rowOff>
    </xdr:to>
    <xdr:graphicFrame macro="">
      <xdr:nvGraphicFramePr>
        <xdr:cNvPr id="5" name="Chart 4">
          <a:extLst>
            <a:ext uri="{FF2B5EF4-FFF2-40B4-BE49-F238E27FC236}">
              <a16:creationId xmlns:a16="http://schemas.microsoft.com/office/drawing/2014/main" id="{18BEEA69-794D-CFB8-DF14-1A002459A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53</xdr:row>
      <xdr:rowOff>7620</xdr:rowOff>
    </xdr:from>
    <xdr:to>
      <xdr:col>4</xdr:col>
      <xdr:colOff>601980</xdr:colOff>
      <xdr:row>55</xdr:row>
      <xdr:rowOff>7620</xdr:rowOff>
    </xdr:to>
    <xdr:graphicFrame macro="">
      <xdr:nvGraphicFramePr>
        <xdr:cNvPr id="7" name="Chart 6">
          <a:extLst>
            <a:ext uri="{FF2B5EF4-FFF2-40B4-BE49-F238E27FC236}">
              <a16:creationId xmlns:a16="http://schemas.microsoft.com/office/drawing/2014/main" id="{93136291-190F-334E-27BD-1DA3ED704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129540</xdr:colOff>
      <xdr:row>116</xdr:row>
      <xdr:rowOff>34290</xdr:rowOff>
    </xdr:from>
    <xdr:to>
      <xdr:col>17</xdr:col>
      <xdr:colOff>251460</xdr:colOff>
      <xdr:row>124</xdr:row>
      <xdr:rowOff>76200</xdr:rowOff>
    </xdr:to>
    <xdr:graphicFrame macro="">
      <xdr:nvGraphicFramePr>
        <xdr:cNvPr id="6" name="Chart 5">
          <a:extLst>
            <a:ext uri="{FF2B5EF4-FFF2-40B4-BE49-F238E27FC236}">
              <a16:creationId xmlns:a16="http://schemas.microsoft.com/office/drawing/2014/main" id="{C3EB43E8-A696-71AD-B18F-A4E0C5C67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274320</xdr:colOff>
      <xdr:row>310</xdr:row>
      <xdr:rowOff>99061</xdr:rowOff>
    </xdr:from>
    <xdr:to>
      <xdr:col>11</xdr:col>
      <xdr:colOff>91440</xdr:colOff>
      <xdr:row>316</xdr:row>
      <xdr:rowOff>30481</xdr:rowOff>
    </xdr:to>
    <mc:AlternateContent xmlns:mc="http://schemas.openxmlformats.org/markup-compatibility/2006">
      <mc:Choice xmlns:a14="http://schemas.microsoft.com/office/drawing/2010/main" Requires="a14">
        <xdr:graphicFrame macro="">
          <xdr:nvGraphicFramePr>
            <xdr:cNvPr id="13" name="Date (Year)">
              <a:extLst>
                <a:ext uri="{FF2B5EF4-FFF2-40B4-BE49-F238E27FC236}">
                  <a16:creationId xmlns:a16="http://schemas.microsoft.com/office/drawing/2014/main" id="{4555B418-F2EA-92E6-9092-97DDD6B653E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6301740" y="56799481"/>
              <a:ext cx="1828800" cy="1028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36566</xdr:colOff>
      <xdr:row>0</xdr:row>
      <xdr:rowOff>38452</xdr:rowOff>
    </xdr:from>
    <xdr:to>
      <xdr:col>5</xdr:col>
      <xdr:colOff>372742</xdr:colOff>
      <xdr:row>2</xdr:row>
      <xdr:rowOff>168442</xdr:rowOff>
    </xdr:to>
    <xdr:sp macro="" textlink="">
      <xdr:nvSpPr>
        <xdr:cNvPr id="2" name="Rectangle: Rounded Corners 1">
          <a:extLst>
            <a:ext uri="{FF2B5EF4-FFF2-40B4-BE49-F238E27FC236}">
              <a16:creationId xmlns:a16="http://schemas.microsoft.com/office/drawing/2014/main" id="{87DFC045-F740-2259-50DC-0D40785FD0B8}"/>
            </a:ext>
          </a:extLst>
        </xdr:cNvPr>
        <xdr:cNvSpPr/>
      </xdr:nvSpPr>
      <xdr:spPr>
        <a:xfrm>
          <a:off x="36566" y="38452"/>
          <a:ext cx="3384176" cy="498958"/>
        </a:xfrm>
        <a:prstGeom prst="roundRect">
          <a:avLst>
            <a:gd name="adj" fmla="val 102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409074</xdr:colOff>
      <xdr:row>0</xdr:row>
      <xdr:rowOff>52137</xdr:rowOff>
    </xdr:from>
    <xdr:to>
      <xdr:col>6</xdr:col>
      <xdr:colOff>592378</xdr:colOff>
      <xdr:row>2</xdr:row>
      <xdr:rowOff>155232</xdr:rowOff>
    </xdr:to>
    <xdr:sp macro="" textlink="">
      <xdr:nvSpPr>
        <xdr:cNvPr id="3" name="Rectangle: Rounded Corners 2">
          <a:extLst>
            <a:ext uri="{FF2B5EF4-FFF2-40B4-BE49-F238E27FC236}">
              <a16:creationId xmlns:a16="http://schemas.microsoft.com/office/drawing/2014/main" id="{FDDD203D-BBCD-4C47-8B2D-D80908ACEBC3}"/>
            </a:ext>
          </a:extLst>
        </xdr:cNvPr>
        <xdr:cNvSpPr/>
      </xdr:nvSpPr>
      <xdr:spPr>
        <a:xfrm>
          <a:off x="3457074" y="52137"/>
          <a:ext cx="792904" cy="472063"/>
        </a:xfrm>
        <a:prstGeom prst="roundRect">
          <a:avLst>
            <a:gd name="adj" fmla="val 102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46003</xdr:colOff>
      <xdr:row>0</xdr:row>
      <xdr:rowOff>72189</xdr:rowOff>
    </xdr:from>
    <xdr:to>
      <xdr:col>9</xdr:col>
      <xdr:colOff>28074</xdr:colOff>
      <xdr:row>5</xdr:row>
      <xdr:rowOff>152400</xdr:rowOff>
    </xdr:to>
    <xdr:sp macro="" textlink="">
      <xdr:nvSpPr>
        <xdr:cNvPr id="4" name="Rectangle: Rounded Corners 3">
          <a:extLst>
            <a:ext uri="{FF2B5EF4-FFF2-40B4-BE49-F238E27FC236}">
              <a16:creationId xmlns:a16="http://schemas.microsoft.com/office/drawing/2014/main" id="{CED50DE9-16A2-49A8-B883-E910A87D3DE0}"/>
            </a:ext>
          </a:extLst>
        </xdr:cNvPr>
        <xdr:cNvSpPr/>
      </xdr:nvSpPr>
      <xdr:spPr>
        <a:xfrm>
          <a:off x="4313203" y="72189"/>
          <a:ext cx="1201271" cy="100263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100027</xdr:colOff>
      <xdr:row>0</xdr:row>
      <xdr:rowOff>64170</xdr:rowOff>
    </xdr:from>
    <xdr:to>
      <xdr:col>11</xdr:col>
      <xdr:colOff>59686</xdr:colOff>
      <xdr:row>5</xdr:row>
      <xdr:rowOff>156411</xdr:rowOff>
    </xdr:to>
    <xdr:sp macro="" textlink="">
      <xdr:nvSpPr>
        <xdr:cNvPr id="6" name="Rectangle: Rounded Corners 5">
          <a:extLst>
            <a:ext uri="{FF2B5EF4-FFF2-40B4-BE49-F238E27FC236}">
              <a16:creationId xmlns:a16="http://schemas.microsoft.com/office/drawing/2014/main" id="{9C2B7BAE-1562-46DD-92F2-9FA2EC606CAD}"/>
            </a:ext>
          </a:extLst>
        </xdr:cNvPr>
        <xdr:cNvSpPr/>
      </xdr:nvSpPr>
      <xdr:spPr>
        <a:xfrm>
          <a:off x="5586427" y="64170"/>
          <a:ext cx="1178859" cy="1014662"/>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67708</xdr:colOff>
      <xdr:row>3</xdr:row>
      <xdr:rowOff>21233</xdr:rowOff>
    </xdr:from>
    <xdr:to>
      <xdr:col>1</xdr:col>
      <xdr:colOff>58744</xdr:colOff>
      <xdr:row>15</xdr:row>
      <xdr:rowOff>168443</xdr:rowOff>
    </xdr:to>
    <xdr:sp macro="" textlink="">
      <xdr:nvSpPr>
        <xdr:cNvPr id="7" name="Rectangle: Rounded Corners 6">
          <a:extLst>
            <a:ext uri="{FF2B5EF4-FFF2-40B4-BE49-F238E27FC236}">
              <a16:creationId xmlns:a16="http://schemas.microsoft.com/office/drawing/2014/main" id="{BD556021-E3EB-470F-9B84-C2853AC3E8EA}"/>
            </a:ext>
          </a:extLst>
        </xdr:cNvPr>
        <xdr:cNvSpPr/>
      </xdr:nvSpPr>
      <xdr:spPr>
        <a:xfrm>
          <a:off x="67708" y="574686"/>
          <a:ext cx="600636" cy="2361020"/>
        </a:xfrm>
        <a:prstGeom prst="roundRect">
          <a:avLst>
            <a:gd name="adj" fmla="val 410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40105</xdr:colOff>
      <xdr:row>3</xdr:row>
      <xdr:rowOff>40104</xdr:rowOff>
    </xdr:from>
    <xdr:to>
      <xdr:col>6</xdr:col>
      <xdr:colOff>590490</xdr:colOff>
      <xdr:row>7</xdr:row>
      <xdr:rowOff>108285</xdr:rowOff>
    </xdr:to>
    <xdr:sp macro="" textlink="">
      <xdr:nvSpPr>
        <xdr:cNvPr id="10" name="Rectangle: Rounded Corners 9">
          <a:extLst>
            <a:ext uri="{FF2B5EF4-FFF2-40B4-BE49-F238E27FC236}">
              <a16:creationId xmlns:a16="http://schemas.microsoft.com/office/drawing/2014/main" id="{C917C6FB-C71A-47F3-9627-8C965ACF4DFC}"/>
            </a:ext>
          </a:extLst>
        </xdr:cNvPr>
        <xdr:cNvSpPr/>
      </xdr:nvSpPr>
      <xdr:spPr>
        <a:xfrm>
          <a:off x="3088105" y="593557"/>
          <a:ext cx="1159985" cy="806117"/>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104274</xdr:colOff>
      <xdr:row>3</xdr:row>
      <xdr:rowOff>37274</xdr:rowOff>
    </xdr:from>
    <xdr:to>
      <xdr:col>4</xdr:col>
      <xdr:colOff>593558</xdr:colOff>
      <xdr:row>7</xdr:row>
      <xdr:rowOff>100264</xdr:rowOff>
    </xdr:to>
    <xdr:sp macro="" textlink="">
      <xdr:nvSpPr>
        <xdr:cNvPr id="13" name="Rectangle: Rounded Corners 12">
          <a:extLst>
            <a:ext uri="{FF2B5EF4-FFF2-40B4-BE49-F238E27FC236}">
              <a16:creationId xmlns:a16="http://schemas.microsoft.com/office/drawing/2014/main" id="{1B65C27B-945B-4416-AA8D-400FF62AC8DD}"/>
            </a:ext>
          </a:extLst>
        </xdr:cNvPr>
        <xdr:cNvSpPr/>
      </xdr:nvSpPr>
      <xdr:spPr>
        <a:xfrm>
          <a:off x="1933074" y="590727"/>
          <a:ext cx="1098884" cy="800926"/>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108521</xdr:colOff>
      <xdr:row>3</xdr:row>
      <xdr:rowOff>37271</xdr:rowOff>
    </xdr:from>
    <xdr:to>
      <xdr:col>3</xdr:col>
      <xdr:colOff>68179</xdr:colOff>
      <xdr:row>7</xdr:row>
      <xdr:rowOff>103152</xdr:rowOff>
    </xdr:to>
    <xdr:sp macro="" textlink="">
      <xdr:nvSpPr>
        <xdr:cNvPr id="15" name="Rectangle: Rounded Corners 14">
          <a:extLst>
            <a:ext uri="{FF2B5EF4-FFF2-40B4-BE49-F238E27FC236}">
              <a16:creationId xmlns:a16="http://schemas.microsoft.com/office/drawing/2014/main" id="{36E6D953-9942-4ADD-A5D0-F74B107E6BC5}"/>
            </a:ext>
          </a:extLst>
        </xdr:cNvPr>
        <xdr:cNvSpPr/>
      </xdr:nvSpPr>
      <xdr:spPr>
        <a:xfrm>
          <a:off x="718121" y="590724"/>
          <a:ext cx="1178858" cy="803817"/>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138009</xdr:colOff>
      <xdr:row>10</xdr:row>
      <xdr:rowOff>106932</xdr:rowOff>
    </xdr:from>
    <xdr:to>
      <xdr:col>6</xdr:col>
      <xdr:colOff>557463</xdr:colOff>
      <xdr:row>15</xdr:row>
      <xdr:rowOff>172453</xdr:rowOff>
    </xdr:to>
    <xdr:sp macro="" textlink="">
      <xdr:nvSpPr>
        <xdr:cNvPr id="16" name="Rectangle: Rounded Corners 15">
          <a:extLst>
            <a:ext uri="{FF2B5EF4-FFF2-40B4-BE49-F238E27FC236}">
              <a16:creationId xmlns:a16="http://schemas.microsoft.com/office/drawing/2014/main" id="{2B45DF82-A02F-4D2F-8DCC-AF060595713E}"/>
            </a:ext>
          </a:extLst>
        </xdr:cNvPr>
        <xdr:cNvSpPr/>
      </xdr:nvSpPr>
      <xdr:spPr>
        <a:xfrm>
          <a:off x="747609" y="1951774"/>
          <a:ext cx="3467454" cy="987942"/>
        </a:xfrm>
        <a:prstGeom prst="roundRect">
          <a:avLst>
            <a:gd name="adj" fmla="val 217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118358</xdr:colOff>
      <xdr:row>7</xdr:row>
      <xdr:rowOff>156410</xdr:rowOff>
    </xdr:from>
    <xdr:to>
      <xdr:col>6</xdr:col>
      <xdr:colOff>561474</xdr:colOff>
      <xdr:row>10</xdr:row>
      <xdr:rowOff>46546</xdr:rowOff>
    </xdr:to>
    <xdr:sp macro="" textlink="">
      <xdr:nvSpPr>
        <xdr:cNvPr id="17" name="Rectangle: Rounded Corners 16">
          <a:extLst>
            <a:ext uri="{FF2B5EF4-FFF2-40B4-BE49-F238E27FC236}">
              <a16:creationId xmlns:a16="http://schemas.microsoft.com/office/drawing/2014/main" id="{F5478177-78B0-4EE2-85EA-7C50EC847D6C}"/>
            </a:ext>
          </a:extLst>
        </xdr:cNvPr>
        <xdr:cNvSpPr/>
      </xdr:nvSpPr>
      <xdr:spPr>
        <a:xfrm>
          <a:off x="727958" y="1447799"/>
          <a:ext cx="3491116" cy="443589"/>
        </a:xfrm>
        <a:prstGeom prst="roundRect">
          <a:avLst>
            <a:gd name="adj" fmla="val 1029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56146</xdr:colOff>
      <xdr:row>6</xdr:row>
      <xdr:rowOff>32085</xdr:rowOff>
    </xdr:from>
    <xdr:to>
      <xdr:col>11</xdr:col>
      <xdr:colOff>64169</xdr:colOff>
      <xdr:row>15</xdr:row>
      <xdr:rowOff>176463</xdr:rowOff>
    </xdr:to>
    <xdr:sp macro="" textlink="">
      <xdr:nvSpPr>
        <xdr:cNvPr id="18" name="Rectangle: Rounded Corners 17">
          <a:extLst>
            <a:ext uri="{FF2B5EF4-FFF2-40B4-BE49-F238E27FC236}">
              <a16:creationId xmlns:a16="http://schemas.microsoft.com/office/drawing/2014/main" id="{C1626DB4-0A81-428F-ABEA-D46875CF7680}"/>
            </a:ext>
          </a:extLst>
        </xdr:cNvPr>
        <xdr:cNvSpPr/>
      </xdr:nvSpPr>
      <xdr:spPr>
        <a:xfrm>
          <a:off x="4323346" y="1138990"/>
          <a:ext cx="2446423" cy="1804736"/>
        </a:xfrm>
        <a:prstGeom prst="roundRect">
          <a:avLst>
            <a:gd name="adj" fmla="val 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0</a:t>
          </a:r>
        </a:p>
      </xdr:txBody>
    </xdr:sp>
    <xdr:clientData/>
  </xdr:twoCellAnchor>
  <xdr:twoCellAnchor editAs="absolute">
    <xdr:from>
      <xdr:col>1</xdr:col>
      <xdr:colOff>40105</xdr:colOff>
      <xdr:row>0</xdr:row>
      <xdr:rowOff>104275</xdr:rowOff>
    </xdr:from>
    <xdr:to>
      <xdr:col>5</xdr:col>
      <xdr:colOff>104273</xdr:colOff>
      <xdr:row>1</xdr:row>
      <xdr:rowOff>140369</xdr:rowOff>
    </xdr:to>
    <xdr:sp macro="" textlink="">
      <xdr:nvSpPr>
        <xdr:cNvPr id="20" name="TextBox 19">
          <a:extLst>
            <a:ext uri="{FF2B5EF4-FFF2-40B4-BE49-F238E27FC236}">
              <a16:creationId xmlns:a16="http://schemas.microsoft.com/office/drawing/2014/main" id="{C38D56E0-FD80-A4DD-84B7-7E0A51EF8102}"/>
            </a:ext>
          </a:extLst>
        </xdr:cNvPr>
        <xdr:cNvSpPr txBox="1"/>
      </xdr:nvSpPr>
      <xdr:spPr>
        <a:xfrm>
          <a:off x="649705" y="104275"/>
          <a:ext cx="2502568" cy="220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Hospital</a:t>
          </a:r>
          <a:r>
            <a:rPr lang="en-IN" sz="1100" baseline="0"/>
            <a:t> Emergency Room Dashboard </a:t>
          </a:r>
          <a:endParaRPr lang="en-IN" sz="1100"/>
        </a:p>
      </xdr:txBody>
    </xdr:sp>
    <xdr:clientData/>
  </xdr:twoCellAnchor>
  <xdr:twoCellAnchor editAs="oneCell">
    <xdr:from>
      <xdr:col>0</xdr:col>
      <xdr:colOff>0</xdr:colOff>
      <xdr:row>0</xdr:row>
      <xdr:rowOff>88231</xdr:rowOff>
    </xdr:from>
    <xdr:to>
      <xdr:col>1</xdr:col>
      <xdr:colOff>272716</xdr:colOff>
      <xdr:row>3</xdr:row>
      <xdr:rowOff>8021</xdr:rowOff>
    </xdr:to>
    <xdr:pic>
      <xdr:nvPicPr>
        <xdr:cNvPr id="22" name="Picture 21">
          <a:extLst>
            <a:ext uri="{FF2B5EF4-FFF2-40B4-BE49-F238E27FC236}">
              <a16:creationId xmlns:a16="http://schemas.microsoft.com/office/drawing/2014/main" id="{63820845-9EE1-53E1-76F4-500FE511DD0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3235" r="6556"/>
        <a:stretch>
          <a:fillRect/>
        </a:stretch>
      </xdr:blipFill>
      <xdr:spPr>
        <a:xfrm>
          <a:off x="0" y="88231"/>
          <a:ext cx="882316" cy="473243"/>
        </a:xfrm>
        <a:prstGeom prst="rect">
          <a:avLst/>
        </a:prstGeom>
      </xdr:spPr>
    </xdr:pic>
    <xdr:clientData/>
  </xdr:twoCellAnchor>
  <xdr:twoCellAnchor editAs="absolute">
    <xdr:from>
      <xdr:col>2</xdr:col>
      <xdr:colOff>0</xdr:colOff>
      <xdr:row>1</xdr:row>
      <xdr:rowOff>88232</xdr:rowOff>
    </xdr:from>
    <xdr:to>
      <xdr:col>3</xdr:col>
      <xdr:colOff>441158</xdr:colOff>
      <xdr:row>2</xdr:row>
      <xdr:rowOff>60158</xdr:rowOff>
    </xdr:to>
    <xdr:sp macro="" textlink="">
      <xdr:nvSpPr>
        <xdr:cNvPr id="25" name="TextBox 24">
          <a:extLst>
            <a:ext uri="{FF2B5EF4-FFF2-40B4-BE49-F238E27FC236}">
              <a16:creationId xmlns:a16="http://schemas.microsoft.com/office/drawing/2014/main" id="{E675D23C-8244-4CFE-9253-3FB200D85221}"/>
            </a:ext>
          </a:extLst>
        </xdr:cNvPr>
        <xdr:cNvSpPr txBox="1"/>
      </xdr:nvSpPr>
      <xdr:spPr>
        <a:xfrm>
          <a:off x="1219200" y="272716"/>
          <a:ext cx="1050758" cy="156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  </a:t>
          </a:r>
          <a:r>
            <a:rPr lang="en-IN" sz="800" baseline="0"/>
            <a:t>       </a:t>
          </a:r>
          <a:r>
            <a:rPr lang="en-IN" sz="800"/>
            <a:t>Monthly</a:t>
          </a:r>
          <a:r>
            <a:rPr lang="en-IN" sz="800" baseline="0"/>
            <a:t> Report</a:t>
          </a:r>
          <a:endParaRPr lang="en-IN" sz="800"/>
        </a:p>
      </xdr:txBody>
    </xdr:sp>
    <xdr:clientData/>
  </xdr:twoCellAnchor>
  <xdr:twoCellAnchor editAs="absolute">
    <xdr:from>
      <xdr:col>1</xdr:col>
      <xdr:colOff>108284</xdr:colOff>
      <xdr:row>5</xdr:row>
      <xdr:rowOff>12032</xdr:rowOff>
    </xdr:from>
    <xdr:to>
      <xdr:col>3</xdr:col>
      <xdr:colOff>24064</xdr:colOff>
      <xdr:row>5</xdr:row>
      <xdr:rowOff>172453</xdr:rowOff>
    </xdr:to>
    <xdr:sp macro="" textlink="">
      <xdr:nvSpPr>
        <xdr:cNvPr id="32" name="TextBox 31">
          <a:extLst>
            <a:ext uri="{FF2B5EF4-FFF2-40B4-BE49-F238E27FC236}">
              <a16:creationId xmlns:a16="http://schemas.microsoft.com/office/drawing/2014/main" id="{316EACB7-8B03-4AFF-A14A-90119BA240F0}"/>
            </a:ext>
          </a:extLst>
        </xdr:cNvPr>
        <xdr:cNvSpPr txBox="1"/>
      </xdr:nvSpPr>
      <xdr:spPr>
        <a:xfrm>
          <a:off x="717884" y="934453"/>
          <a:ext cx="1134980"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aseline="0"/>
            <a:t>           No. of Patient</a:t>
          </a:r>
        </a:p>
        <a:p>
          <a:endParaRPr lang="en-IN" sz="800"/>
        </a:p>
      </xdr:txBody>
    </xdr:sp>
    <xdr:clientData/>
  </xdr:twoCellAnchor>
  <xdr:twoCellAnchor editAs="absolute">
    <xdr:from>
      <xdr:col>1</xdr:col>
      <xdr:colOff>493295</xdr:colOff>
      <xdr:row>4</xdr:row>
      <xdr:rowOff>32083</xdr:rowOff>
    </xdr:from>
    <xdr:to>
      <xdr:col>2</xdr:col>
      <xdr:colOff>292768</xdr:colOff>
      <xdr:row>5</xdr:row>
      <xdr:rowOff>8021</xdr:rowOff>
    </xdr:to>
    <xdr:sp macro="" textlink="'pivot Report'!A13">
      <xdr:nvSpPr>
        <xdr:cNvPr id="39" name="TextBox 38">
          <a:extLst>
            <a:ext uri="{FF2B5EF4-FFF2-40B4-BE49-F238E27FC236}">
              <a16:creationId xmlns:a16="http://schemas.microsoft.com/office/drawing/2014/main" id="{0DA20C04-5658-4607-B684-37E09CFD832D}"/>
            </a:ext>
          </a:extLst>
        </xdr:cNvPr>
        <xdr:cNvSpPr txBox="1"/>
      </xdr:nvSpPr>
      <xdr:spPr>
        <a:xfrm>
          <a:off x="1102895" y="770020"/>
          <a:ext cx="409073" cy="160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89AA930A-43F2-4472-9C15-6FDB3B2C7344}" type="TxLink">
            <a:rPr lang="en-US" sz="1100" b="0" i="0" u="none" strike="noStrike">
              <a:solidFill>
                <a:srgbClr val="000000"/>
              </a:solidFill>
              <a:latin typeface="Calibri"/>
              <a:ea typeface="Calibri"/>
              <a:cs typeface="Calibri"/>
            </a:rPr>
            <a:pPr/>
            <a:t>513</a:t>
          </a:fld>
          <a:endParaRPr lang="en-US" sz="1100" b="0" i="0" u="none" strike="noStrike">
            <a:solidFill>
              <a:srgbClr val="000000"/>
            </a:solidFill>
            <a:latin typeface="Calibri"/>
            <a:ea typeface="Calibri"/>
            <a:cs typeface="Calibri"/>
          </a:endParaRPr>
        </a:p>
      </xdr:txBody>
    </xdr:sp>
    <xdr:clientData/>
  </xdr:twoCellAnchor>
  <xdr:twoCellAnchor editAs="absolute">
    <xdr:from>
      <xdr:col>3</xdr:col>
      <xdr:colOff>72189</xdr:colOff>
      <xdr:row>5</xdr:row>
      <xdr:rowOff>8021</xdr:rowOff>
    </xdr:from>
    <xdr:to>
      <xdr:col>4</xdr:col>
      <xdr:colOff>561474</xdr:colOff>
      <xdr:row>5</xdr:row>
      <xdr:rowOff>180474</xdr:rowOff>
    </xdr:to>
    <xdr:sp macro="" textlink="">
      <xdr:nvSpPr>
        <xdr:cNvPr id="40" name="TextBox 39">
          <a:extLst>
            <a:ext uri="{FF2B5EF4-FFF2-40B4-BE49-F238E27FC236}">
              <a16:creationId xmlns:a16="http://schemas.microsoft.com/office/drawing/2014/main" id="{30C3FDA2-3DA3-4027-B4D6-AE7344997022}"/>
            </a:ext>
          </a:extLst>
        </xdr:cNvPr>
        <xdr:cNvSpPr txBox="1"/>
      </xdr:nvSpPr>
      <xdr:spPr>
        <a:xfrm>
          <a:off x="1900989" y="930442"/>
          <a:ext cx="1098885" cy="17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b="0" i="0" u="none" strike="noStrike">
              <a:solidFill>
                <a:srgbClr val="000000"/>
              </a:solidFill>
              <a:latin typeface="Calibri"/>
              <a:ea typeface="Calibri"/>
              <a:cs typeface="Calibri"/>
            </a:rPr>
            <a:t>     Average</a:t>
          </a:r>
          <a:r>
            <a:rPr lang="en-US" sz="800" b="0" i="0" u="none" strike="noStrike" baseline="0">
              <a:solidFill>
                <a:srgbClr val="000000"/>
              </a:solidFill>
              <a:latin typeface="Calibri"/>
              <a:ea typeface="Calibri"/>
              <a:cs typeface="Calibri"/>
            </a:rPr>
            <a:t> wait Time </a:t>
          </a:r>
          <a:endParaRPr lang="en-US" sz="800" b="0" i="0" u="none" strike="noStrike">
            <a:solidFill>
              <a:srgbClr val="000000"/>
            </a:solidFill>
            <a:latin typeface="Calibri"/>
            <a:ea typeface="Calibri"/>
            <a:cs typeface="Calibri"/>
          </a:endParaRPr>
        </a:p>
      </xdr:txBody>
    </xdr:sp>
    <xdr:clientData/>
  </xdr:twoCellAnchor>
  <xdr:twoCellAnchor editAs="absolute">
    <xdr:from>
      <xdr:col>3</xdr:col>
      <xdr:colOff>409075</xdr:colOff>
      <xdr:row>4</xdr:row>
      <xdr:rowOff>32084</xdr:rowOff>
    </xdr:from>
    <xdr:to>
      <xdr:col>4</xdr:col>
      <xdr:colOff>132349</xdr:colOff>
      <xdr:row>4</xdr:row>
      <xdr:rowOff>168442</xdr:rowOff>
    </xdr:to>
    <xdr:sp macro="" textlink="'pivot Report'!A17">
      <xdr:nvSpPr>
        <xdr:cNvPr id="41" name="TextBox 40">
          <a:extLst>
            <a:ext uri="{FF2B5EF4-FFF2-40B4-BE49-F238E27FC236}">
              <a16:creationId xmlns:a16="http://schemas.microsoft.com/office/drawing/2014/main" id="{6F06379D-B699-4F5C-9B83-06B3C1423326}"/>
            </a:ext>
          </a:extLst>
        </xdr:cNvPr>
        <xdr:cNvSpPr txBox="1"/>
      </xdr:nvSpPr>
      <xdr:spPr>
        <a:xfrm>
          <a:off x="2237875" y="770021"/>
          <a:ext cx="332874" cy="13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2D11BF5-2650-4E30-BB00-12CCBAA062AB}" type="TxLink">
            <a:rPr lang="en-US" sz="1100" b="0" i="0" u="none" strike="noStrike">
              <a:solidFill>
                <a:srgbClr val="000000"/>
              </a:solidFill>
              <a:latin typeface="Calibri"/>
              <a:ea typeface="Calibri"/>
              <a:cs typeface="Calibri"/>
            </a:rPr>
            <a:pPr/>
            <a:t>36.32</a:t>
          </a:fld>
          <a:endParaRPr lang="en-US" sz="1100" b="0" i="0" u="none" strike="noStrike">
            <a:solidFill>
              <a:srgbClr val="000000"/>
            </a:solidFill>
            <a:latin typeface="Calibri"/>
            <a:ea typeface="Calibri"/>
            <a:cs typeface="Calibri"/>
          </a:endParaRPr>
        </a:p>
      </xdr:txBody>
    </xdr:sp>
    <xdr:clientData/>
  </xdr:twoCellAnchor>
  <xdr:twoCellAnchor editAs="absolute">
    <xdr:from>
      <xdr:col>5</xdr:col>
      <xdr:colOff>4011</xdr:colOff>
      <xdr:row>4</xdr:row>
      <xdr:rowOff>152400</xdr:rowOff>
    </xdr:from>
    <xdr:to>
      <xdr:col>6</xdr:col>
      <xdr:colOff>593559</xdr:colOff>
      <xdr:row>5</xdr:row>
      <xdr:rowOff>172453</xdr:rowOff>
    </xdr:to>
    <xdr:sp macro="" textlink="">
      <xdr:nvSpPr>
        <xdr:cNvPr id="42" name="TextBox 41">
          <a:extLst>
            <a:ext uri="{FF2B5EF4-FFF2-40B4-BE49-F238E27FC236}">
              <a16:creationId xmlns:a16="http://schemas.microsoft.com/office/drawing/2014/main" id="{E29684BA-CD03-47CC-B85A-D6930746B75A}"/>
            </a:ext>
          </a:extLst>
        </xdr:cNvPr>
        <xdr:cNvSpPr txBox="1"/>
      </xdr:nvSpPr>
      <xdr:spPr>
        <a:xfrm>
          <a:off x="3052011" y="890337"/>
          <a:ext cx="1199148" cy="204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baseline="0">
              <a:solidFill>
                <a:srgbClr val="000000"/>
              </a:solidFill>
              <a:latin typeface="Calibri"/>
              <a:ea typeface="Calibri"/>
              <a:cs typeface="Calibri"/>
            </a:rPr>
            <a:t>   </a:t>
          </a:r>
          <a:r>
            <a:rPr lang="en-US" sz="800" b="0" i="0" u="none" strike="noStrike" baseline="0">
              <a:solidFill>
                <a:srgbClr val="000000"/>
              </a:solidFill>
              <a:latin typeface="Calibri"/>
              <a:ea typeface="Calibri"/>
              <a:cs typeface="Calibri"/>
            </a:rPr>
            <a:t>patient satisfaction score</a:t>
          </a:r>
          <a:endParaRPr lang="en-US" sz="800" b="0" i="0" u="none" strike="noStrike">
            <a:solidFill>
              <a:srgbClr val="000000"/>
            </a:solidFill>
            <a:latin typeface="Calibri"/>
            <a:ea typeface="Calibri"/>
            <a:cs typeface="Calibri"/>
          </a:endParaRPr>
        </a:p>
      </xdr:txBody>
    </xdr:sp>
    <xdr:clientData/>
  </xdr:twoCellAnchor>
  <xdr:twoCellAnchor editAs="absolute">
    <xdr:from>
      <xdr:col>5</xdr:col>
      <xdr:colOff>425115</xdr:colOff>
      <xdr:row>4</xdr:row>
      <xdr:rowOff>48125</xdr:rowOff>
    </xdr:from>
    <xdr:to>
      <xdr:col>6</xdr:col>
      <xdr:colOff>164432</xdr:colOff>
      <xdr:row>5</xdr:row>
      <xdr:rowOff>24062</xdr:rowOff>
    </xdr:to>
    <xdr:sp macro="" textlink="'pivot Report'!A5">
      <xdr:nvSpPr>
        <xdr:cNvPr id="43" name="TextBox 42">
          <a:extLst>
            <a:ext uri="{FF2B5EF4-FFF2-40B4-BE49-F238E27FC236}">
              <a16:creationId xmlns:a16="http://schemas.microsoft.com/office/drawing/2014/main" id="{5720F1C1-DC34-4626-A7FC-0C664EC8A159}"/>
            </a:ext>
          </a:extLst>
        </xdr:cNvPr>
        <xdr:cNvSpPr txBox="1"/>
      </xdr:nvSpPr>
      <xdr:spPr>
        <a:xfrm>
          <a:off x="3473115" y="786062"/>
          <a:ext cx="348917" cy="160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C17A570-561B-4DD0-AFDC-4D96970817A5}" type="TxLink">
            <a:rPr lang="en-US" sz="1100" b="0" i="0" u="none" strike="noStrike">
              <a:solidFill>
                <a:srgbClr val="000000"/>
              </a:solidFill>
              <a:latin typeface="Calibri"/>
              <a:ea typeface="Calibri"/>
              <a:cs typeface="Calibri"/>
            </a:rPr>
            <a:pPr/>
            <a:t>4.96</a:t>
          </a:fld>
          <a:endParaRPr lang="en-US" sz="1100" b="0" i="0" u="none" strike="noStrike">
            <a:solidFill>
              <a:srgbClr val="000000"/>
            </a:solidFill>
            <a:latin typeface="Calibri"/>
            <a:ea typeface="Calibri"/>
            <a:cs typeface="Calibri"/>
          </a:endParaRPr>
        </a:p>
      </xdr:txBody>
    </xdr:sp>
    <xdr:clientData/>
  </xdr:twoCellAnchor>
  <xdr:twoCellAnchor editAs="oneCell">
    <xdr:from>
      <xdr:col>2</xdr:col>
      <xdr:colOff>256673</xdr:colOff>
      <xdr:row>3</xdr:row>
      <xdr:rowOff>68179</xdr:rowOff>
    </xdr:from>
    <xdr:to>
      <xdr:col>3</xdr:col>
      <xdr:colOff>8021</xdr:colOff>
      <xdr:row>4</xdr:row>
      <xdr:rowOff>134083</xdr:rowOff>
    </xdr:to>
    <xdr:pic>
      <xdr:nvPicPr>
        <xdr:cNvPr id="45" name="Graphic 44" descr="Male profile with solid fill">
          <a:extLst>
            <a:ext uri="{FF2B5EF4-FFF2-40B4-BE49-F238E27FC236}">
              <a16:creationId xmlns:a16="http://schemas.microsoft.com/office/drawing/2014/main" id="{9803CC46-99EB-177B-A3E1-1A94542C7CC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75873" y="621632"/>
          <a:ext cx="360948" cy="250388"/>
        </a:xfrm>
        <a:prstGeom prst="rect">
          <a:avLst/>
        </a:prstGeom>
      </xdr:spPr>
    </xdr:pic>
    <xdr:clientData/>
  </xdr:twoCellAnchor>
  <xdr:twoCellAnchor editAs="oneCell">
    <xdr:from>
      <xdr:col>4</xdr:col>
      <xdr:colOff>256675</xdr:colOff>
      <xdr:row>3</xdr:row>
      <xdr:rowOff>48127</xdr:rowOff>
    </xdr:from>
    <xdr:to>
      <xdr:col>4</xdr:col>
      <xdr:colOff>601579</xdr:colOff>
      <xdr:row>4</xdr:row>
      <xdr:rowOff>156411</xdr:rowOff>
    </xdr:to>
    <xdr:pic>
      <xdr:nvPicPr>
        <xdr:cNvPr id="47" name="Graphic 46" descr="Hourglass Finished with solid fill">
          <a:extLst>
            <a:ext uri="{FF2B5EF4-FFF2-40B4-BE49-F238E27FC236}">
              <a16:creationId xmlns:a16="http://schemas.microsoft.com/office/drawing/2014/main" id="{611794B6-4DBE-BECE-1EE8-A9175E7541E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695075" y="601580"/>
          <a:ext cx="344904" cy="292768"/>
        </a:xfrm>
        <a:prstGeom prst="rect">
          <a:avLst/>
        </a:prstGeom>
      </xdr:spPr>
    </xdr:pic>
    <xdr:clientData/>
  </xdr:twoCellAnchor>
  <xdr:twoCellAnchor editAs="oneCell">
    <xdr:from>
      <xdr:col>6</xdr:col>
      <xdr:colOff>220580</xdr:colOff>
      <xdr:row>3</xdr:row>
      <xdr:rowOff>25673</xdr:rowOff>
    </xdr:from>
    <xdr:to>
      <xdr:col>6</xdr:col>
      <xdr:colOff>597569</xdr:colOff>
      <xdr:row>5</xdr:row>
      <xdr:rowOff>33694</xdr:rowOff>
    </xdr:to>
    <xdr:pic>
      <xdr:nvPicPr>
        <xdr:cNvPr id="49" name="Graphic 48" descr="Customer review with solid fill">
          <a:extLst>
            <a:ext uri="{FF2B5EF4-FFF2-40B4-BE49-F238E27FC236}">
              <a16:creationId xmlns:a16="http://schemas.microsoft.com/office/drawing/2014/main" id="{85CFEACC-7C99-4A8D-6773-14E6789B27E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78180" y="579126"/>
          <a:ext cx="376989" cy="376989"/>
        </a:xfrm>
        <a:prstGeom prst="rect">
          <a:avLst/>
        </a:prstGeom>
      </xdr:spPr>
    </xdr:pic>
    <xdr:clientData/>
  </xdr:twoCellAnchor>
  <xdr:twoCellAnchor editAs="oneCell">
    <xdr:from>
      <xdr:col>0</xdr:col>
      <xdr:colOff>72189</xdr:colOff>
      <xdr:row>3</xdr:row>
      <xdr:rowOff>20053</xdr:rowOff>
    </xdr:from>
    <xdr:to>
      <xdr:col>1</xdr:col>
      <xdr:colOff>74589</xdr:colOff>
      <xdr:row>15</xdr:row>
      <xdr:rowOff>160421</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98FF1603-3B30-477C-90DD-86D0E5A358D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2189" y="573506"/>
              <a:ext cx="612000" cy="2354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52137</xdr:colOff>
      <xdr:row>4</xdr:row>
      <xdr:rowOff>100263</xdr:rowOff>
    </xdr:from>
    <xdr:to>
      <xdr:col>3</xdr:col>
      <xdr:colOff>148389</xdr:colOff>
      <xdr:row>8</xdr:row>
      <xdr:rowOff>100263</xdr:rowOff>
    </xdr:to>
    <xdr:graphicFrame macro="">
      <xdr:nvGraphicFramePr>
        <xdr:cNvPr id="9" name="Chart 8">
          <a:hlinkClick xmlns:r="http://schemas.openxmlformats.org/officeDocument/2006/relationships" r:id="rId8"/>
          <a:extLst>
            <a:ext uri="{FF2B5EF4-FFF2-40B4-BE49-F238E27FC236}">
              <a16:creationId xmlns:a16="http://schemas.microsoft.com/office/drawing/2014/main" id="{4FE4C421-BA4B-485C-8EF7-0B5B2516E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100263</xdr:colOff>
      <xdr:row>5</xdr:row>
      <xdr:rowOff>128337</xdr:rowOff>
    </xdr:from>
    <xdr:to>
      <xdr:col>4</xdr:col>
      <xdr:colOff>601579</xdr:colOff>
      <xdr:row>7</xdr:row>
      <xdr:rowOff>104274</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F1D43701-919F-49B9-BED4-A8F12588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36096</xdr:colOff>
      <xdr:row>5</xdr:row>
      <xdr:rowOff>112294</xdr:rowOff>
    </xdr:from>
    <xdr:to>
      <xdr:col>6</xdr:col>
      <xdr:colOff>589548</xdr:colOff>
      <xdr:row>7</xdr:row>
      <xdr:rowOff>104274</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DEDD1D38-8DA9-4F4F-899A-D69F7EC3F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104273</xdr:colOff>
      <xdr:row>7</xdr:row>
      <xdr:rowOff>152400</xdr:rowOff>
    </xdr:from>
    <xdr:to>
      <xdr:col>6</xdr:col>
      <xdr:colOff>577516</xdr:colOff>
      <xdr:row>10</xdr:row>
      <xdr:rowOff>52137</xdr:rowOff>
    </xdr:to>
    <xdr:pic>
      <xdr:nvPicPr>
        <xdr:cNvPr id="23" name="Picture 22">
          <a:extLst>
            <a:ext uri="{FF2B5EF4-FFF2-40B4-BE49-F238E27FC236}">
              <a16:creationId xmlns:a16="http://schemas.microsoft.com/office/drawing/2014/main" id="{F5B2D0AD-1D2D-CBFD-F4CE-FFC21017BD44}"/>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13873" y="1443789"/>
          <a:ext cx="3521243" cy="453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148389</xdr:colOff>
      <xdr:row>10</xdr:row>
      <xdr:rowOff>56148</xdr:rowOff>
    </xdr:from>
    <xdr:to>
      <xdr:col>6</xdr:col>
      <xdr:colOff>553453</xdr:colOff>
      <xdr:row>15</xdr:row>
      <xdr:rowOff>16043</xdr:rowOff>
    </xdr:to>
    <xdr:graphicFrame macro="">
      <xdr:nvGraphicFramePr>
        <xdr:cNvPr id="24" name="Chart 23">
          <a:extLst>
            <a:ext uri="{FF2B5EF4-FFF2-40B4-BE49-F238E27FC236}">
              <a16:creationId xmlns:a16="http://schemas.microsoft.com/office/drawing/2014/main" id="{7C8A4841-3949-43B0-A5CC-7AD657C08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276726</xdr:colOff>
      <xdr:row>15</xdr:row>
      <xdr:rowOff>4011</xdr:rowOff>
    </xdr:from>
    <xdr:to>
      <xdr:col>5</xdr:col>
      <xdr:colOff>457200</xdr:colOff>
      <xdr:row>16</xdr:row>
      <xdr:rowOff>20053</xdr:rowOff>
    </xdr:to>
    <xdr:sp macro="" textlink="">
      <xdr:nvSpPr>
        <xdr:cNvPr id="29" name="TextBox 28">
          <a:extLst>
            <a:ext uri="{FF2B5EF4-FFF2-40B4-BE49-F238E27FC236}">
              <a16:creationId xmlns:a16="http://schemas.microsoft.com/office/drawing/2014/main" id="{95A90570-D6C4-4E9C-8D7E-A2C277849275}"/>
            </a:ext>
          </a:extLst>
        </xdr:cNvPr>
        <xdr:cNvSpPr txBox="1"/>
      </xdr:nvSpPr>
      <xdr:spPr>
        <a:xfrm>
          <a:off x="1495926" y="2771274"/>
          <a:ext cx="2009274" cy="20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a:t>  </a:t>
          </a:r>
          <a:r>
            <a:rPr lang="en-IN" sz="800" baseline="0"/>
            <a:t>         No. of patient by Age group</a:t>
          </a:r>
          <a:endParaRPr lang="en-IN" sz="800"/>
        </a:p>
      </xdr:txBody>
    </xdr:sp>
    <xdr:clientData/>
  </xdr:twoCellAnchor>
  <xdr:twoCellAnchor>
    <xdr:from>
      <xdr:col>7</xdr:col>
      <xdr:colOff>28073</xdr:colOff>
      <xdr:row>0</xdr:row>
      <xdr:rowOff>28074</xdr:rowOff>
    </xdr:from>
    <xdr:to>
      <xdr:col>9</xdr:col>
      <xdr:colOff>76200</xdr:colOff>
      <xdr:row>5</xdr:row>
      <xdr:rowOff>172453</xdr:rowOff>
    </xdr:to>
    <xdr:graphicFrame macro="">
      <xdr:nvGraphicFramePr>
        <xdr:cNvPr id="30" name="Chart 29">
          <a:extLst>
            <a:ext uri="{FF2B5EF4-FFF2-40B4-BE49-F238E27FC236}">
              <a16:creationId xmlns:a16="http://schemas.microsoft.com/office/drawing/2014/main" id="{23AA8ECA-8650-4246-BDF1-2A1A07C39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0</xdr:colOff>
      <xdr:row>19</xdr:row>
      <xdr:rowOff>0</xdr:rowOff>
    </xdr:from>
    <xdr:to>
      <xdr:col>14</xdr:col>
      <xdr:colOff>84221</xdr:colOff>
      <xdr:row>27</xdr:row>
      <xdr:rowOff>64168</xdr:rowOff>
    </xdr:to>
    <xdr:graphicFrame macro="">
      <xdr:nvGraphicFramePr>
        <xdr:cNvPr id="33" name="Chart 32">
          <a:extLst>
            <a:ext uri="{FF2B5EF4-FFF2-40B4-BE49-F238E27FC236}">
              <a16:creationId xmlns:a16="http://schemas.microsoft.com/office/drawing/2014/main" id="{36D4C6F9-82D9-432F-AEA2-8F06A1BE64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88232</xdr:colOff>
      <xdr:row>0</xdr:row>
      <xdr:rowOff>44117</xdr:rowOff>
    </xdr:from>
    <xdr:to>
      <xdr:col>11</xdr:col>
      <xdr:colOff>40106</xdr:colOff>
      <xdr:row>6</xdr:row>
      <xdr:rowOff>12032</xdr:rowOff>
    </xdr:to>
    <xdr:graphicFrame macro="">
      <xdr:nvGraphicFramePr>
        <xdr:cNvPr id="34" name="Chart 33">
          <a:extLst>
            <a:ext uri="{FF2B5EF4-FFF2-40B4-BE49-F238E27FC236}">
              <a16:creationId xmlns:a16="http://schemas.microsoft.com/office/drawing/2014/main" id="{C21EED4C-9FA6-41BA-B73D-37ED46852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88232</xdr:colOff>
      <xdr:row>4</xdr:row>
      <xdr:rowOff>152400</xdr:rowOff>
    </xdr:from>
    <xdr:to>
      <xdr:col>11</xdr:col>
      <xdr:colOff>60158</xdr:colOff>
      <xdr:row>5</xdr:row>
      <xdr:rowOff>164430</xdr:rowOff>
    </xdr:to>
    <xdr:sp macro="" textlink="">
      <xdr:nvSpPr>
        <xdr:cNvPr id="36" name="TextBox 35">
          <a:extLst>
            <a:ext uri="{FF2B5EF4-FFF2-40B4-BE49-F238E27FC236}">
              <a16:creationId xmlns:a16="http://schemas.microsoft.com/office/drawing/2014/main" id="{B7524381-E7E4-75AD-07F5-B35B08679351}"/>
            </a:ext>
          </a:extLst>
        </xdr:cNvPr>
        <xdr:cNvSpPr txBox="1"/>
      </xdr:nvSpPr>
      <xdr:spPr>
        <a:xfrm>
          <a:off x="5574632" y="890337"/>
          <a:ext cx="1191126" cy="1965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chemeClr val="dk1"/>
              </a:solidFill>
            </a:rPr>
            <a:t>Gender</a:t>
          </a:r>
          <a:r>
            <a:rPr lang="en-IN" sz="900"/>
            <a:t> wise Analysis</a:t>
          </a:r>
        </a:p>
      </xdr:txBody>
    </xdr:sp>
    <xdr:clientData/>
  </xdr:twoCellAnchor>
  <xdr:twoCellAnchor>
    <xdr:from>
      <xdr:col>7</xdr:col>
      <xdr:colOff>40106</xdr:colOff>
      <xdr:row>6</xdr:row>
      <xdr:rowOff>24063</xdr:rowOff>
    </xdr:from>
    <xdr:to>
      <xdr:col>11</xdr:col>
      <xdr:colOff>64168</xdr:colOff>
      <xdr:row>15</xdr:row>
      <xdr:rowOff>132348</xdr:rowOff>
    </xdr:to>
    <xdr:graphicFrame macro="">
      <xdr:nvGraphicFramePr>
        <xdr:cNvPr id="37" name="Chart 36">
          <a:extLst>
            <a:ext uri="{FF2B5EF4-FFF2-40B4-BE49-F238E27FC236}">
              <a16:creationId xmlns:a16="http://schemas.microsoft.com/office/drawing/2014/main" id="{05518D56-DF40-4C0D-A3D2-C3000DAE8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7</xdr:col>
      <xdr:colOff>48126</xdr:colOff>
      <xdr:row>14</xdr:row>
      <xdr:rowOff>132347</xdr:rowOff>
    </xdr:from>
    <xdr:ext cx="2462463" cy="180474"/>
    <xdr:sp macro="" textlink="">
      <xdr:nvSpPr>
        <xdr:cNvPr id="38" name="TextBox 37">
          <a:extLst>
            <a:ext uri="{FF2B5EF4-FFF2-40B4-BE49-F238E27FC236}">
              <a16:creationId xmlns:a16="http://schemas.microsoft.com/office/drawing/2014/main" id="{E2DD3B2D-6B88-0383-F5E1-77D3D8260BD1}"/>
            </a:ext>
          </a:extLst>
        </xdr:cNvPr>
        <xdr:cNvSpPr txBox="1"/>
      </xdr:nvSpPr>
      <xdr:spPr>
        <a:xfrm>
          <a:off x="4315326" y="2715126"/>
          <a:ext cx="2462463" cy="1804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900"/>
            <a:t>            No.</a:t>
          </a:r>
          <a:r>
            <a:rPr lang="en-IN" sz="900" baseline="0"/>
            <a:t> of Patient by department Referal</a:t>
          </a:r>
          <a:endParaRPr lang="en-IN" sz="900"/>
        </a:p>
      </xdr:txBody>
    </xdr:sp>
    <xdr:clientData/>
  </xdr:oneCellAnchor>
  <xdr:twoCellAnchor editAs="oneCell">
    <xdr:from>
      <xdr:col>5</xdr:col>
      <xdr:colOff>397041</xdr:colOff>
      <xdr:row>0</xdr:row>
      <xdr:rowOff>40104</xdr:rowOff>
    </xdr:from>
    <xdr:to>
      <xdr:col>6</xdr:col>
      <xdr:colOff>601578</xdr:colOff>
      <xdr:row>2</xdr:row>
      <xdr:rowOff>152399</xdr:rowOff>
    </xdr:to>
    <mc:AlternateContent xmlns:mc="http://schemas.openxmlformats.org/markup-compatibility/2006">
      <mc:Choice xmlns:a14="http://schemas.microsoft.com/office/drawing/2010/main" Requires="a14">
        <xdr:graphicFrame macro="">
          <xdr:nvGraphicFramePr>
            <xdr:cNvPr id="44" name="Date (Year) 1">
              <a:extLst>
                <a:ext uri="{FF2B5EF4-FFF2-40B4-BE49-F238E27FC236}">
                  <a16:creationId xmlns:a16="http://schemas.microsoft.com/office/drawing/2014/main" id="{F2F43ADC-8D52-4471-A0F6-66F14229187F}"/>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445041" y="40104"/>
              <a:ext cx="814137" cy="481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0.27848</cdr:x>
      <cdr:y>0.14286</cdr:y>
    </cdr:from>
    <cdr:to>
      <cdr:x>1</cdr:x>
      <cdr:y>1</cdr:y>
    </cdr:to>
    <cdr:sp macro="" textlink="">
      <cdr:nvSpPr>
        <cdr:cNvPr id="2" name="TextBox 1">
          <a:extLst xmlns:a="http://schemas.openxmlformats.org/drawingml/2006/main">
            <a:ext uri="{FF2B5EF4-FFF2-40B4-BE49-F238E27FC236}">
              <a16:creationId xmlns:a16="http://schemas.microsoft.com/office/drawing/2014/main" id="{BAF1F83B-02AA-6636-9335-8FC7CBFE5C05}"/>
            </a:ext>
          </a:extLst>
        </cdr:cNvPr>
        <cdr:cNvSpPr txBox="1"/>
      </cdr:nvSpPr>
      <cdr:spPr>
        <a:xfrm xmlns:a="http://schemas.openxmlformats.org/drawingml/2006/main">
          <a:off x="364959" y="94648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cdr:x>
      <cdr:y>0.81579</cdr:y>
    </cdr:from>
    <cdr:to>
      <cdr:x>0.94937</cdr:x>
      <cdr:y>1</cdr:y>
    </cdr:to>
    <cdr:sp macro="" textlink="">
      <cdr:nvSpPr>
        <cdr:cNvPr id="3" name="TextBox 2">
          <a:extLst xmlns:a="http://schemas.openxmlformats.org/drawingml/2006/main">
            <a:ext uri="{FF2B5EF4-FFF2-40B4-BE49-F238E27FC236}">
              <a16:creationId xmlns:a16="http://schemas.microsoft.com/office/drawing/2014/main" id="{D0D26091-10B3-C970-7DDE-D9E0F66681B8}"/>
            </a:ext>
          </a:extLst>
        </cdr:cNvPr>
        <cdr:cNvSpPr txBox="1"/>
      </cdr:nvSpPr>
      <cdr:spPr>
        <a:xfrm xmlns:a="http://schemas.openxmlformats.org/drawingml/2006/main">
          <a:off x="0" y="870284"/>
          <a:ext cx="1203159" cy="19651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900" kern="1200" baseline="0"/>
            <a:t>   </a:t>
          </a:r>
          <a:r>
            <a:rPr lang="en-IN" sz="900" kern="1200"/>
            <a:t>Patient</a:t>
          </a:r>
          <a:r>
            <a:rPr lang="en-IN" sz="900" kern="1200" baseline="0"/>
            <a:t> Attend Status</a:t>
          </a:r>
          <a:endParaRPr lang="en-IN" sz="900"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236220</xdr:colOff>
      <xdr:row>2</xdr:row>
      <xdr:rowOff>15240</xdr:rowOff>
    </xdr:from>
    <xdr:to>
      <xdr:col>16</xdr:col>
      <xdr:colOff>106680</xdr:colOff>
      <xdr:row>21</xdr:row>
      <xdr:rowOff>83820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A4B5D792-6362-4A22-8C28-E6B07C3411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0.08538</cdr:x>
      <cdr:y>0.15269</cdr:y>
    </cdr:to>
    <cdr:pic>
      <cdr:nvPicPr>
        <cdr:cNvPr id="3" name="Graphic 2" descr="Home with solid fill">
          <a:extLst xmlns:a="http://schemas.openxmlformats.org/drawingml/2006/main">
            <a:ext uri="{FF2B5EF4-FFF2-40B4-BE49-F238E27FC236}">
              <a16:creationId xmlns:a16="http://schemas.microsoft.com/office/drawing/2014/main" id="{6D68F5FF-14F7-3F6A-0A9F-A7B91A2F767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0" y="0"/>
          <a:ext cx="769620" cy="54102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594360</xdr:colOff>
      <xdr:row>5</xdr:row>
      <xdr:rowOff>60960</xdr:rowOff>
    </xdr:from>
    <xdr:to>
      <xdr:col>15</xdr:col>
      <xdr:colOff>548640</xdr:colOff>
      <xdr:row>23</xdr:row>
      <xdr:rowOff>30480</xdr:rowOff>
    </xdr:to>
    <xdr:graphicFrame macro="">
      <xdr:nvGraphicFramePr>
        <xdr:cNvPr id="2" name="Chart 1">
          <a:hlinkClick xmlns:r="http://schemas.openxmlformats.org/officeDocument/2006/relationships" r:id="rId1"/>
          <a:extLst>
            <a:ext uri="{FF2B5EF4-FFF2-40B4-BE49-F238E27FC236}">
              <a16:creationId xmlns:a16="http://schemas.microsoft.com/office/drawing/2014/main" id="{85ED2101-834E-4972-8B17-7BD59B071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0.01346</cdr:x>
      <cdr:y>0.03505</cdr:y>
    </cdr:from>
    <cdr:to>
      <cdr:x>0.09874</cdr:x>
      <cdr:y>0.21963</cdr:y>
    </cdr:to>
    <cdr:pic>
      <cdr:nvPicPr>
        <cdr:cNvPr id="3" name="Graphic 2" descr="Home with solid fill">
          <a:extLst xmlns:a="http://schemas.openxmlformats.org/drawingml/2006/main">
            <a:ext uri="{FF2B5EF4-FFF2-40B4-BE49-F238E27FC236}">
              <a16:creationId xmlns:a16="http://schemas.microsoft.com/office/drawing/2014/main" id="{8A3E5448-238A-7D9B-1D1E-05A1E35D762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14300" y="114300"/>
          <a:ext cx="723900" cy="60198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0</xdr:colOff>
      <xdr:row>1</xdr:row>
      <xdr:rowOff>76200</xdr:rowOff>
    </xdr:from>
    <xdr:to>
      <xdr:col>21</xdr:col>
      <xdr:colOff>373380</xdr:colOff>
      <xdr:row>23</xdr:row>
      <xdr:rowOff>144780</xdr:rowOff>
    </xdr:to>
    <xdr:graphicFrame macro="">
      <xdr:nvGraphicFramePr>
        <xdr:cNvPr id="4" name="Chart 3">
          <a:hlinkClick xmlns:r="http://schemas.openxmlformats.org/officeDocument/2006/relationships" r:id="rId1"/>
          <a:extLst>
            <a:ext uri="{FF2B5EF4-FFF2-40B4-BE49-F238E27FC236}">
              <a16:creationId xmlns:a16="http://schemas.microsoft.com/office/drawing/2014/main" id="{BEAB577E-09F1-45AD-A07E-DADCE26A2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6574073" createdVersion="5" refreshedVersion="8" minRefreshableVersion="3" recordCount="0" supportSubquery="1" supportAdvancedDrill="1" xr:uid="{693BEF78-CCA7-4C60-A305-D65C65D026C7}">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6805557" createdVersion="5" refreshedVersion="8" minRefreshableVersion="3" recordCount="0" supportSubquery="1" supportAdvancedDrill="1" xr:uid="{665F5876-45FB-4BEA-B78A-25301DD5D60C}">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7037035" createdVersion="5" refreshedVersion="8" minRefreshableVersion="3" recordCount="0" supportSubquery="1" supportAdvancedDrill="1" xr:uid="{A65001B6-2252-4378-AD57-D92365A82F6A}">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7037035" createdVersion="5" refreshedVersion="8" minRefreshableVersion="3" recordCount="0" supportSubquery="1" supportAdvancedDrill="1" xr:uid="{A48EDFE4-2BC9-4088-A211-8C566C354C5E}">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7731481" createdVersion="5" refreshedVersion="8" minRefreshableVersion="3" recordCount="0" supportSubquery="1" supportAdvancedDrill="1" xr:uid="{BF1AC100-58BA-4E47-AD4C-90C00B5D2D59}">
  <cacheSource type="external" connectionId="3"/>
  <cacheFields count="4">
    <cacheField name="[Calendar_Table].[Date (Day)].[Date (Day)]" caption="Date (Day)" numFmtId="0" hierarchy="2" level="1">
      <sharedItems count="123">
        <s v="1-Jan"/>
        <s v="2-Jan"/>
        <s v="3-Jan"/>
        <s v="4-Jan"/>
        <s v="5-Jan"/>
        <s v="6-Jan"/>
        <s v="7-Jan"/>
        <s v="8-Jan"/>
        <s v="9-Jan"/>
        <s v="10-Jan"/>
        <s v="11-Jan"/>
        <s v="12-Jan"/>
        <s v="13-Jan"/>
        <s v="14-Jan"/>
        <s v="15-Jan"/>
        <s v="16-Jan"/>
        <s v="17-Jan"/>
        <s v="18-Jan"/>
        <s v="19-Jan"/>
        <s v="20-Jan"/>
        <s v="21-Jan"/>
        <s v="22-Jan"/>
        <s v="23-Jan"/>
        <s v="24-Jan"/>
        <s v="25-Jan"/>
        <s v="26-Jan"/>
        <s v="27-Jan"/>
        <s v="28-Jan"/>
        <s v="29-Jan"/>
        <s v="30-Jan"/>
        <s v="31-Jan"/>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8078704" createdVersion="5" refreshedVersion="8" minRefreshableVersion="3" recordCount="0" supportSubquery="1" supportAdvancedDrill="1" xr:uid="{F48F38F1-E0FF-4BA7-85FC-D0ADF97ECAF5}">
  <cacheSource type="external" connectionId="3"/>
  <cacheFields count="4">
    <cacheField name="[Calendar_Table].[Date (Day)].[Date (Day)]" caption="Date (Day)" numFmtId="0" hierarchy="2" level="1">
      <sharedItems count="123">
        <s v="1-Jan"/>
        <s v="2-Jan"/>
        <s v="3-Jan"/>
        <s v="4-Jan"/>
        <s v="5-Jan"/>
        <s v="6-Jan"/>
        <s v="7-Jan"/>
        <s v="8-Jan"/>
        <s v="9-Jan"/>
        <s v="10-Jan"/>
        <s v="11-Jan"/>
        <s v="12-Jan"/>
        <s v="13-Jan"/>
        <s v="14-Jan"/>
        <s v="15-Jan"/>
        <s v="16-Jan"/>
        <s v="17-Jan"/>
        <s v="18-Jan"/>
        <s v="19-Jan"/>
        <s v="20-Jan"/>
        <s v="21-Jan"/>
        <s v="22-Jan"/>
        <s v="23-Jan"/>
        <s v="24-Jan"/>
        <s v="25-Jan"/>
        <s v="26-Jan"/>
        <s v="27-Jan"/>
        <s v="28-Jan"/>
        <s v="29-Jan"/>
        <s v="30-Jan"/>
        <s v="31-Jan"/>
        <s v="1-May" u="1"/>
        <s v="2-May" u="1"/>
        <s v="3-May" u="1"/>
        <s v="4-May" u="1"/>
        <s v="5-May" u="1"/>
        <s v="6-May" u="1"/>
        <s v="7-May" u="1"/>
        <s v="8-May" u="1"/>
        <s v="9-May" u="1"/>
        <s v="10-May" u="1"/>
        <s v="11-May" u="1"/>
        <s v="12-May" u="1"/>
        <s v="13-May" u="1"/>
        <s v="14-May" u="1"/>
        <s v="16-May" u="1"/>
        <s v="17-May" u="1"/>
        <s v="18-May" u="1"/>
        <s v="19-May" u="1"/>
        <s v="20-May" u="1"/>
        <s v="21-May" u="1"/>
        <s v="22-May" u="1"/>
        <s v="23-May" u="1"/>
        <s v="24-May" u="1"/>
        <s v="25-May" u="1"/>
        <s v="26-May" u="1"/>
        <s v="27-May" u="1"/>
        <s v="28-May" u="1"/>
        <s v="29-May" u="1"/>
        <s v="30-May" u="1"/>
        <s v="31-May"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5-May"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8541666" createdVersion="5" refreshedVersion="8" minRefreshableVersion="3" recordCount="0" supportSubquery="1" supportAdvancedDrill="1" xr:uid="{5B4F6AC9-1444-419E-A444-4FBC61782665}">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1"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8888889" createdVersion="5" refreshedVersion="8" minRefreshableVersion="3" recordCount="0" supportSubquery="1" supportAdvancedDrill="1" xr:uid="{175A2AF2-4083-4069-A405-CB3A20347ADF}">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2"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9236113" createdVersion="5" refreshedVersion="8" minRefreshableVersion="3" recordCount="0" supportSubquery="1" supportAdvancedDrill="1" xr:uid="{12EEF450-B3D6-42C2-B90F-041785D3BCBD}">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9583336" createdVersion="5" refreshedVersion="8" minRefreshableVersion="3" recordCount="0" supportSubquery="1" supportAdvancedDrill="1" xr:uid="{D0ED8A54-F5BA-43EA-B667-7FBDBAE3F09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39930559" createdVersion="5" refreshedVersion="8" minRefreshableVersion="3" recordCount="0" supportSubquery="1" supportAdvancedDrill="1" xr:uid="{E652967A-B61F-49B5-B98A-BC2548796A3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63040277775" createdVersion="5" refreshedVersion="8" minRefreshableVersion="3" recordCount="0" supportSubquery="1" supportAdvancedDrill="1" xr:uid="{301725F3-89F9-40F4-9B8B-1A5B4E6578E8}">
  <cacheSource type="external" connectionId="3"/>
  <cacheFields count="4">
    <cacheField name="[Calendar_Table].[Date (Month)].[Date (Month)]" caption="Date (Month)" numFmtId="0" hierarchy="1" level="1">
      <sharedItems count="1">
        <s v="Nov"/>
      </sharedItems>
    </cacheField>
    <cacheField name="[Calendar_Table].[Date].[Date]" caption="Date" numFmtId="0" level="1">
      <sharedItems containsSemiMixedTypes="0" containsNonDate="0" containsDate="1" containsString="0" minDate="2023-11-01T00:00:00" maxDate="2024-12-01T00:00:00" count="6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sharedItems>
    </cacheField>
    <cacheField name="[Calendar_Table].[Date (Quarter)].[Date (Quarter)]" caption="Date (Quarter)" numFmtId="0" hierarchy="4" level="1">
      <sharedItems count="1">
        <s v="Qtr4"/>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1.548631712962" createdVersion="3" refreshedVersion="8" minRefreshableVersion="3" recordCount="0" supportSubquery="1" supportAdvancedDrill="1" xr:uid="{D8B7B0A2-CB1C-4DA9-B495-8E6192FA224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646314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DC3A1-957F-4A9E-B52C-E008F0B7680A}" name="PivotTable15" cacheId="2059"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41">
  <location ref="M317:M31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4">
    <format dxfId="1602">
      <pivotArea type="all" dataOnly="0" outline="0" fieldPosition="0"/>
    </format>
    <format dxfId="1603">
      <pivotArea outline="0" collapsedLevelsAreSubtotals="1" fieldPosition="0"/>
    </format>
    <format dxfId="1604">
      <pivotArea dataOnly="0" labelOnly="1" grandRow="1" outline="0" fieldPosition="0"/>
    </format>
    <format dxfId="1605">
      <pivotArea dataOnly="0" labelOnly="1" outline="0" axis="axisValues"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CA7655-81D3-4194-98EA-A4927AB777AE}" name="PivotTable14" cacheId="2056"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41">
  <location ref="F265:G274"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5">
    <format dxfId="1606">
      <pivotArea type="all" dataOnly="0" outline="0" fieldPosition="0"/>
    </format>
    <format dxfId="1607">
      <pivotArea outline="0" collapsedLevelsAreSubtotals="1" fieldPosition="0"/>
    </format>
    <format dxfId="1608">
      <pivotArea dataOnly="0" labelOnly="1" grandRow="1" outline="0" fieldPosition="0"/>
    </format>
    <format dxfId="1609">
      <pivotArea dataOnly="0" labelOnly="1" outline="0" axis="axisValues" fieldPosition="0"/>
    </format>
    <format dxfId="1610">
      <pivotArea collapsedLevelsAreSubtotals="1" fieldPosition="0">
        <references count="1">
          <reference field="1" count="1">
            <x v="0"/>
          </reference>
        </references>
      </pivotArea>
    </format>
  </formats>
  <chartFormats count="2">
    <chartFormat chart="39" format="1"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C2C5C8-6BD3-4B3D-B3C0-22EF4F8C90FA}" name="PivotTable13" cacheId="2053"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38">
  <location ref="A214:B217"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4">
    <format dxfId="1611">
      <pivotArea type="all" dataOnly="0" outline="0" fieldPosition="0"/>
    </format>
    <format dxfId="1612">
      <pivotArea outline="0" collapsedLevelsAreSubtotals="1" fieldPosition="0"/>
    </format>
    <format dxfId="1613">
      <pivotArea dataOnly="0" labelOnly="1" grandRow="1" outline="0" fieldPosition="0"/>
    </format>
    <format dxfId="1614">
      <pivotArea dataOnly="0" labelOnly="1" outline="0" axis="axisValues" fieldPosition="0"/>
    </format>
  </formats>
  <chartFormats count="12">
    <chartFormat chart="23" format="1" series="1">
      <pivotArea type="data" outline="0" fieldPosition="0">
        <references count="1">
          <reference field="4294967294" count="1" selected="0">
            <x v="0"/>
          </reference>
        </references>
      </pivotArea>
    </chartFormat>
    <chartFormat chart="23" format="2">
      <pivotArea type="data" outline="0" fieldPosition="0">
        <references count="2">
          <reference field="4294967294" count="1" selected="0">
            <x v="0"/>
          </reference>
          <reference field="1" count="1" selected="0">
            <x v="0"/>
          </reference>
        </references>
      </pivotArea>
    </chartFormat>
    <chartFormat chart="23" format="3">
      <pivotArea type="data" outline="0" fieldPosition="0">
        <references count="2">
          <reference field="4294967294" count="1" selected="0">
            <x v="0"/>
          </reference>
          <reference field="1"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1" count="1" selected="0">
            <x v="0"/>
          </reference>
        </references>
      </pivotArea>
    </chartFormat>
    <chartFormat chart="31" format="6">
      <pivotArea type="data" outline="0" fieldPosition="0">
        <references count="2">
          <reference field="4294967294" count="1" selected="0">
            <x v="0"/>
          </reference>
          <reference field="1" count="1" selected="0">
            <x v="1"/>
          </reference>
        </references>
      </pivotArea>
    </chartFormat>
    <chartFormat chart="33" format="10"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32" format="8">
      <pivotArea type="data" outline="0" fieldPosition="0">
        <references count="2">
          <reference field="4294967294" count="1" selected="0">
            <x v="0"/>
          </reference>
          <reference field="1" count="1" selected="0">
            <x v="0"/>
          </reference>
        </references>
      </pivotArea>
    </chartFormat>
    <chartFormat chart="32" format="9">
      <pivotArea type="data" outline="0" fieldPosition="0">
        <references count="2">
          <reference field="4294967294" count="1" selected="0">
            <x v="0"/>
          </reference>
          <reference field="1" count="1" selected="0">
            <x v="1"/>
          </reference>
        </references>
      </pivotArea>
    </chartFormat>
    <chartFormat chart="33" format="11">
      <pivotArea type="data" outline="0" fieldPosition="0">
        <references count="2">
          <reference field="4294967294" count="1" selected="0">
            <x v="0"/>
          </reference>
          <reference field="1" count="1" selected="0">
            <x v="0"/>
          </reference>
        </references>
      </pivotArea>
    </chartFormat>
    <chartFormat chart="33" format="1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FE9D8-1D9F-477E-B362-0AC40CA7FA8A}" name="PivotTable12" cacheId="2050"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19">
  <location ref="B203:C20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4">
    <format dxfId="1615">
      <pivotArea type="all" dataOnly="0" outline="0" fieldPosition="0"/>
    </format>
    <format dxfId="1616">
      <pivotArea outline="0" collapsedLevelsAreSubtotals="1" fieldPosition="0"/>
    </format>
    <format dxfId="1617">
      <pivotArea dataOnly="0" labelOnly="1" grandRow="1" outline="0" fieldPosition="0"/>
    </format>
    <format dxfId="1618">
      <pivotArea dataOnly="0" labelOnly="1" outline="0" axis="axisValues"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1D70F7-CDB9-4E6B-ACF7-FC2466AC4F4D}" name="PivotTable10" cacheId="2047"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14">
  <location ref="L136:M1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6">
    <format dxfId="1624">
      <pivotArea type="all" dataOnly="0" outline="0" fieldPosition="0"/>
    </format>
    <format dxfId="1623">
      <pivotArea outline="0" collapsedLevelsAreSubtotals="1" fieldPosition="0"/>
    </format>
    <format dxfId="1622">
      <pivotArea field="1" type="button" dataOnly="0" labelOnly="1" outline="0" axis="axisRow" fieldPosition="0"/>
    </format>
    <format dxfId="1621">
      <pivotArea dataOnly="0" labelOnly="1" fieldPosition="0">
        <references count="1">
          <reference field="1" count="0"/>
        </references>
      </pivotArea>
    </format>
    <format dxfId="1620">
      <pivotArea dataOnly="0" labelOnly="1" grandRow="1" outline="0" fieldPosition="0"/>
    </format>
    <format dxfId="1619">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8FB4C3-BE2D-4039-8DB8-F87420CA3792}" name="PivotTable2" cacheId="2032" applyNumberFormats="0" applyBorderFormats="0" applyFontFormats="0" applyPatternFormats="0" applyAlignmentFormats="0" applyWidthHeightFormats="1" dataCaption="Values" tag="96f7d056-1cec-4fba-8e1c-63d21b4687b5"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C19EDC-B160-43E4-B5A5-00150764B3AB}" name="PivotTable3" cacheId="2035" applyNumberFormats="0" applyBorderFormats="0" applyFontFormats="0" applyPatternFormats="0" applyAlignmentFormats="0" applyWidthHeightFormats="1" dataCaption="Values" tag="b5a2eb2d-3141-4cb1-801c-64c9fe814b1d" updatedVersion="8" minRefreshableVersion="3" useAutoFormatting="1" subtotalHiddenItems="1" itemPrintTitles="1" createdVersion="5" indent="0" outline="1" outlineData="1" multipleFieldFilters="0">
  <location ref="A16:A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29">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C6A1B8-9826-44D0-9965-92876C04C8C4}" name="PivotTable1" cacheId="2029" applyNumberFormats="0" applyBorderFormats="0" applyFontFormats="0" applyPatternFormats="0" applyAlignmentFormats="0" applyWidthHeightFormats="1" dataCaption="Values" tag="6c1066dc-e3b8-4b55-b9eb-f29861e43771"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630">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3E4AAB-89A7-4352-9B9C-350E429CBBA4}" name="PivotTable7" cacheId="2044" applyNumberFormats="0" applyBorderFormats="0" applyFontFormats="0" applyPatternFormats="0" applyAlignmentFormats="0" applyWidthHeightFormats="1" dataCaption="Values" tag="6c1066dc-e3b8-4b55-b9eb-f29861e43771" updatedVersion="8" minRefreshableVersion="3" subtotalHiddenItems="1" itemPrintTitles="1" createdVersion="5" indent="0" outline="1" outlineData="1" multipleFieldFilters="0" chartFormat="4">
  <location ref="A19:C22" firstHeaderRow="0" firstDataRow="1" firstDataCol="1"/>
  <pivotFields count="5">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1625">
      <pivotArea outline="0" collapsedLevelsAreSubtotals="1" fieldPosition="0"/>
    </format>
    <format dxfId="1626">
      <pivotArea collapsedLevelsAreSubtotals="1" fieldPosition="0">
        <references count="1">
          <reference field="1" count="1">
            <x v="0"/>
          </reference>
        </references>
      </pivotArea>
    </format>
    <format dxfId="1627">
      <pivotArea collapsedLevelsAreSubtotals="1" fieldPosition="0">
        <references count="1">
          <reference field="1" count="1">
            <x v="1"/>
          </reference>
        </references>
      </pivotArea>
    </format>
    <format dxfId="162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Distinct Count of Patient Waittime"/>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96E5DE-596F-401D-BE63-A38D89A328EC}" name="PivotTable6" cacheId="2041" applyNumberFormats="0" applyBorderFormats="0" applyFontFormats="0" applyPatternFormats="0" applyAlignmentFormats="0" applyWidthHeightFormats="1" dataCaption="Values" tag="1b00471e-fc22-4d2d-8b0c-d12a615fb16d" updatedVersion="8" minRefreshableVersion="3" subtotalHiddenItems="1" itemPrintTitles="1" createdVersion="5" indent="0" outline="1" outlineData="1" multipleFieldFilters="0" chartFormat="37">
  <location ref="N12:O44" firstHeaderRow="1" firstDataRow="1" firstDataCol="1"/>
  <pivotFields count="4">
    <pivotField axis="axisRow" allDrilled="1" subtotalTop="0" showAll="0" defaultSubtotal="0" defaultAttributeDrillState="1">
      <items count="123">
        <item x="31"/>
        <item x="32"/>
        <item x="33"/>
        <item x="34"/>
        <item x="35"/>
        <item x="36"/>
        <item x="37"/>
        <item x="38"/>
        <item x="39"/>
        <item x="40"/>
        <item x="41"/>
        <item x="42"/>
        <item x="43"/>
        <item x="44"/>
        <item x="122"/>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Items count="1">
    <i/>
  </colItems>
  <dataFields count="1">
    <dataField name="Average of Patient Satisfaction Score" fld="2" subtotal="average" baseField="0" baseItem="0"/>
  </dataFields>
  <formats count="7">
    <format dxfId="1637">
      <pivotArea type="all" dataOnly="0" outline="0" fieldPosition="0"/>
    </format>
    <format dxfId="1636">
      <pivotArea outline="0" collapsedLevelsAreSubtotals="1" fieldPosition="0"/>
    </format>
    <format dxfId="1635">
      <pivotArea field="0" type="button" dataOnly="0" labelOnly="1" outline="0" axis="axisRow" fieldPosition="0"/>
    </format>
    <format dxfId="163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33">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1632">
      <pivotArea dataOnly="0" labelOnly="1" grandRow="1" outline="0" fieldPosition="0"/>
    </format>
    <format dxfId="1631">
      <pivotArea dataOnly="0" labelOnly="1" outline="0" axis="axisValues" fieldPosition="0"/>
    </format>
  </formats>
  <chartFormats count="3">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6E70D2-8AA8-45D8-9E65-A28794318CD0}" name="PivotTable5" cacheId="2026" applyNumberFormats="0" applyBorderFormats="0" applyFontFormats="0" applyPatternFormats="0" applyAlignmentFormats="0" applyWidthHeightFormats="1" dataCaption="Values" tag="1b00471e-fc22-4d2d-8b0c-d12a615fb16d" updatedVersion="8" minRefreshableVersion="3" subtotalHiddenItems="1" itemPrintTitles="1" createdVersion="5" indent="0" outline="1" outlineData="1" multipleFieldFilters="0" chartFormat="10">
  <location ref="D15:E47" firstHeaderRow="1" firstDataRow="1" firstDataCol="1"/>
  <pivotFields count="4">
    <pivotField dataField="1" subtotalTop="0" showAll="0" defaultSubtotal="0"/>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EC0486-38C6-436C-9CC8-2BCA3DAFE74C}" name="PivotTable4" cacheId="2038" applyNumberFormats="0" applyBorderFormats="0" applyFontFormats="0" applyPatternFormats="0" applyAlignmentFormats="0" applyWidthHeightFormats="1" dataCaption="Values" tag="1b00471e-fc22-4d2d-8b0c-d12a615fb16d" updatedVersion="8" minRefreshableVersion="3" subtotalHiddenItems="1" itemPrintTitles="1" createdVersion="5" indent="0" outline="1" outlineData="1" multipleFieldFilters="0" chartFormat="23">
  <location ref="J8:K40" firstHeaderRow="1" firstDataRow="1" firstDataCol="1"/>
  <pivotFields count="4">
    <pivotField axis="axisRow" allDrilled="1" subtotalTop="0" showAll="0" defaultSubtotal="0" defaultAttributeDrillState="1">
      <items count="123">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t="grand">
      <x/>
    </i>
  </rowItems>
  <colItems count="1">
    <i/>
  </colItems>
  <dataFields count="1">
    <dataField name="Average of Patient Waittime" fld="2" subtotal="average" baseField="0" baseItem="0" numFmtId="2"/>
  </dataFields>
  <formats count="7">
    <format dxfId="1644">
      <pivotArea type="all" dataOnly="0" outline="0" fieldPosition="0"/>
    </format>
    <format dxfId="1643">
      <pivotArea outline="0" collapsedLevelsAreSubtotals="1" fieldPosition="0"/>
    </format>
    <format dxfId="1642">
      <pivotArea field="0" type="button" dataOnly="0" labelOnly="1" outline="0" axis="axisRow" fieldPosition="0"/>
    </format>
    <format dxfId="1641">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640">
      <pivotArea dataOnly="0" labelOnly="1" fieldPosition="0">
        <references count="1">
          <reference field="0" count="42">
            <x v="50"/>
            <x v="51"/>
            <x v="52"/>
            <x v="53"/>
            <x v="54"/>
            <x v="55"/>
            <x v="56"/>
            <x v="57"/>
            <x v="58"/>
            <x v="59"/>
            <x v="60"/>
            <x v="61"/>
            <x v="62"/>
            <x v="63"/>
            <x v="64"/>
            <x v="65"/>
            <x v="66"/>
            <x v="67"/>
            <x v="68"/>
            <x v="69"/>
            <x v="70"/>
            <x v="71"/>
            <x v="72"/>
            <x v="73"/>
            <x v="74"/>
            <x v="75"/>
            <x v="76"/>
            <x v="77"/>
            <x v="78"/>
            <x v="79"/>
            <x v="80"/>
            <x v="81"/>
            <x v="82"/>
            <x v="83"/>
            <x v="84"/>
            <x v="85"/>
            <x v="86"/>
            <x v="87"/>
            <x v="88"/>
            <x v="89"/>
            <x v="90"/>
            <x v="91"/>
          </reference>
        </references>
      </pivotArea>
    </format>
    <format dxfId="1639">
      <pivotArea dataOnly="0" labelOnly="1" grandRow="1" outline="0" fieldPosition="0"/>
    </format>
    <format dxfId="1638">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E099063-AEA9-4D7B-AD93-F452592734C7}" sourceName="[Calenda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10"/>
    <pivotTable tabId="1" name="PivotTable12"/>
    <pivotTable tabId="1" name="PivotTable13"/>
    <pivotTable tabId="1" name="PivotTable14"/>
    <pivotTable tabId="1" name="PivotTable15"/>
  </pivotTables>
  <data>
    <olap pivotCacheId="86463144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4B2CCD6-E9A1-40E9-BF04-97C451405CB5}" sourceName="[Calendar_Table].[Date (Year)]">
  <pivotTables>
    <pivotTable tabId="1" name="PivotTable15"/>
    <pivotTable tabId="1" name="PivotTable1"/>
    <pivotTable tabId="1" name="PivotTable10"/>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s>
  <data>
    <olap pivotCacheId="86463144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E2D268D-0A29-4D1C-9479-4C35CDC22DA6}" cache="Slicer_Date__Month" caption="Date (Month)" level="1" rowHeight="234950"/>
  <slicer name="Date (Year)" xr10:uid="{8C4DE7D0-7D96-42A1-A27E-B2881520F566}"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66EF1D2C-BF59-47F8-8006-5C609D086674}" cache="Slicer_Date__Month" caption="Date (Month)" showCaption="0" level="1" style="my style" rowHeight="144000"/>
  <slicer name="Date (Year) 1" xr10:uid="{BA99B3F5-7894-4B12-831C-7AB04E37285C}" cache="Slicer_Date__Year" caption="Date (Year)" showCaption="0" level="1" style="my style"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DF459-21B0-4F34-9AF9-05D700A77029}">
  <dimension ref="A3:O319"/>
  <sheetViews>
    <sheetView workbookViewId="0">
      <selection activeCell="D16" sqref="D16:D45"/>
    </sheetView>
  </sheetViews>
  <sheetFormatPr defaultRowHeight="14.4" x14ac:dyDescent="0.3"/>
  <cols>
    <col min="1" max="1" width="25" bestFit="1" customWidth="1"/>
    <col min="2" max="2" width="7.88671875" customWidth="1"/>
    <col min="3" max="3" width="10.5546875" customWidth="1"/>
    <col min="5" max="5" width="8.88671875" customWidth="1"/>
    <col min="11" max="11" width="11.5546875" bestFit="1" customWidth="1"/>
  </cols>
  <sheetData>
    <row r="3" spans="1:15" x14ac:dyDescent="0.3">
      <c r="A3" t="s">
        <v>1</v>
      </c>
    </row>
    <row r="4" spans="1:15" x14ac:dyDescent="0.3">
      <c r="A4" t="s">
        <v>3</v>
      </c>
    </row>
    <row r="5" spans="1:15" x14ac:dyDescent="0.3">
      <c r="A5" s="2">
        <v>4.9591836734693882</v>
      </c>
    </row>
    <row r="7" spans="1:15" x14ac:dyDescent="0.3">
      <c r="J7" s="2" t="s">
        <v>7</v>
      </c>
      <c r="K7" s="2"/>
    </row>
    <row r="8" spans="1:15" x14ac:dyDescent="0.3">
      <c r="J8" s="5" t="s">
        <v>4</v>
      </c>
      <c r="K8" s="2" t="s">
        <v>2</v>
      </c>
    </row>
    <row r="9" spans="1:15" x14ac:dyDescent="0.3">
      <c r="J9" s="6" t="s">
        <v>43</v>
      </c>
      <c r="K9" s="2">
        <v>37.789473684210527</v>
      </c>
    </row>
    <row r="10" spans="1:15" x14ac:dyDescent="0.3">
      <c r="J10" s="6" t="s">
        <v>44</v>
      </c>
      <c r="K10" s="2">
        <v>38.214285714285715</v>
      </c>
    </row>
    <row r="11" spans="1:15" x14ac:dyDescent="0.3">
      <c r="J11" s="6" t="s">
        <v>45</v>
      </c>
      <c r="K11" s="2">
        <v>40.92307692307692</v>
      </c>
      <c r="N11" s="2" t="s">
        <v>8</v>
      </c>
      <c r="O11" s="2"/>
    </row>
    <row r="12" spans="1:15" x14ac:dyDescent="0.3">
      <c r="A12" t="s">
        <v>0</v>
      </c>
      <c r="J12" s="6" t="s">
        <v>46</v>
      </c>
      <c r="K12" s="2">
        <v>34.5</v>
      </c>
      <c r="N12" s="5" t="s">
        <v>4</v>
      </c>
      <c r="O12" s="2" t="s">
        <v>3</v>
      </c>
    </row>
    <row r="13" spans="1:15" x14ac:dyDescent="0.3">
      <c r="A13" s="15">
        <v>513</v>
      </c>
      <c r="J13" s="6" t="s">
        <v>47</v>
      </c>
      <c r="K13" s="2">
        <v>30.684210526315791</v>
      </c>
      <c r="N13" s="6" t="s">
        <v>43</v>
      </c>
      <c r="O13" s="2">
        <v>6.666666666666667</v>
      </c>
    </row>
    <row r="14" spans="1:15" x14ac:dyDescent="0.3">
      <c r="D14" t="s">
        <v>6</v>
      </c>
      <c r="J14" s="6" t="s">
        <v>48</v>
      </c>
      <c r="K14" s="2">
        <v>37.666666666666664</v>
      </c>
      <c r="N14" s="6" t="s">
        <v>44</v>
      </c>
      <c r="O14" s="2">
        <v>3.5</v>
      </c>
    </row>
    <row r="15" spans="1:15" x14ac:dyDescent="0.3">
      <c r="D15" s="1" t="s">
        <v>4</v>
      </c>
      <c r="E15" t="s">
        <v>0</v>
      </c>
      <c r="J15" s="6" t="s">
        <v>49</v>
      </c>
      <c r="K15" s="2">
        <v>36.083333333333336</v>
      </c>
      <c r="N15" s="6" t="s">
        <v>45</v>
      </c>
      <c r="O15" s="2">
        <v>4.5</v>
      </c>
    </row>
    <row r="16" spans="1:15" x14ac:dyDescent="0.3">
      <c r="A16" t="s">
        <v>2</v>
      </c>
      <c r="D16" s="4" t="s">
        <v>43</v>
      </c>
      <c r="E16" s="15">
        <v>19</v>
      </c>
      <c r="J16" s="6" t="s">
        <v>50</v>
      </c>
      <c r="K16" s="2">
        <v>43.523809523809526</v>
      </c>
      <c r="N16" s="6" t="s">
        <v>46</v>
      </c>
      <c r="O16" s="2">
        <v>4.8</v>
      </c>
    </row>
    <row r="17" spans="1:15" x14ac:dyDescent="0.3">
      <c r="A17" s="2">
        <v>36.323586744639378</v>
      </c>
      <c r="D17" s="4" t="s">
        <v>44</v>
      </c>
      <c r="E17" s="15">
        <v>14</v>
      </c>
      <c r="J17" s="6" t="s">
        <v>51</v>
      </c>
      <c r="K17" s="2">
        <v>29.5</v>
      </c>
      <c r="N17" s="6" t="s">
        <v>47</v>
      </c>
      <c r="O17" s="2">
        <v>7.75</v>
      </c>
    </row>
    <row r="18" spans="1:15" x14ac:dyDescent="0.3">
      <c r="D18" s="4" t="s">
        <v>45</v>
      </c>
      <c r="E18" s="15">
        <v>13</v>
      </c>
      <c r="J18" s="6" t="s">
        <v>52</v>
      </c>
      <c r="K18" s="2">
        <v>38.07692307692308</v>
      </c>
      <c r="N18" s="6" t="s">
        <v>48</v>
      </c>
      <c r="O18" s="2">
        <v>6.2</v>
      </c>
    </row>
    <row r="19" spans="1:15" x14ac:dyDescent="0.3">
      <c r="A19" s="1" t="s">
        <v>4</v>
      </c>
      <c r="B19" t="s">
        <v>11</v>
      </c>
      <c r="C19" t="s">
        <v>12</v>
      </c>
      <c r="D19" s="4" t="s">
        <v>46</v>
      </c>
      <c r="E19" s="15">
        <v>22</v>
      </c>
      <c r="J19" s="6" t="s">
        <v>53</v>
      </c>
      <c r="K19" s="2">
        <v>35.846153846153847</v>
      </c>
      <c r="N19" s="6" t="s">
        <v>49</v>
      </c>
      <c r="O19" s="2">
        <v>3.75</v>
      </c>
    </row>
    <row r="20" spans="1:15" x14ac:dyDescent="0.3">
      <c r="A20" s="4" t="s">
        <v>9</v>
      </c>
      <c r="B20" s="7">
        <v>269</v>
      </c>
      <c r="C20" s="8">
        <v>0.52436647173489281</v>
      </c>
      <c r="D20" s="4" t="s">
        <v>47</v>
      </c>
      <c r="E20" s="15">
        <v>19</v>
      </c>
      <c r="J20" s="6" t="s">
        <v>54</v>
      </c>
      <c r="K20" s="2">
        <v>32.625</v>
      </c>
      <c r="N20" s="6" t="s">
        <v>50</v>
      </c>
      <c r="O20" s="2">
        <v>6.5</v>
      </c>
    </row>
    <row r="21" spans="1:15" x14ac:dyDescent="0.3">
      <c r="A21" s="4" t="s">
        <v>10</v>
      </c>
      <c r="B21" s="7">
        <v>244</v>
      </c>
      <c r="C21" s="8">
        <v>0.47563352826510719</v>
      </c>
      <c r="D21" s="4" t="s">
        <v>48</v>
      </c>
      <c r="E21" s="15">
        <v>15</v>
      </c>
      <c r="J21" s="6" t="s">
        <v>55</v>
      </c>
      <c r="K21" s="2">
        <v>39.200000000000003</v>
      </c>
      <c r="N21" s="6" t="s">
        <v>51</v>
      </c>
      <c r="O21" s="2">
        <v>3</v>
      </c>
    </row>
    <row r="22" spans="1:15" x14ac:dyDescent="0.3">
      <c r="A22" s="4" t="s">
        <v>5</v>
      </c>
      <c r="B22" s="2">
        <v>513</v>
      </c>
      <c r="C22" s="8">
        <v>1</v>
      </c>
      <c r="D22" s="4" t="s">
        <v>49</v>
      </c>
      <c r="E22" s="15">
        <v>12</v>
      </c>
      <c r="J22" s="6" t="s">
        <v>56</v>
      </c>
      <c r="K22" s="2">
        <v>35.28</v>
      </c>
      <c r="N22" s="6" t="s">
        <v>52</v>
      </c>
      <c r="O22" s="2">
        <v>4.5</v>
      </c>
    </row>
    <row r="23" spans="1:15" x14ac:dyDescent="0.3">
      <c r="D23" s="4" t="s">
        <v>50</v>
      </c>
      <c r="E23" s="15">
        <v>21</v>
      </c>
      <c r="J23" s="6" t="s">
        <v>57</v>
      </c>
      <c r="K23" s="2">
        <v>32.549999999999997</v>
      </c>
      <c r="N23" s="6" t="s">
        <v>53</v>
      </c>
      <c r="O23" s="2">
        <v>6</v>
      </c>
    </row>
    <row r="24" spans="1:15" x14ac:dyDescent="0.3">
      <c r="A24" s="4" t="s">
        <v>13</v>
      </c>
      <c r="B24" t="s">
        <v>14</v>
      </c>
      <c r="D24" s="4" t="s">
        <v>51</v>
      </c>
      <c r="E24" s="15">
        <v>12</v>
      </c>
      <c r="J24" s="6" t="s">
        <v>58</v>
      </c>
      <c r="K24" s="2">
        <v>35.642857142857146</v>
      </c>
      <c r="N24" s="6" t="s">
        <v>54</v>
      </c>
      <c r="O24" s="2">
        <v>5.2</v>
      </c>
    </row>
    <row r="25" spans="1:15" x14ac:dyDescent="0.3">
      <c r="D25" s="4" t="s">
        <v>52</v>
      </c>
      <c r="E25" s="15">
        <v>13</v>
      </c>
      <c r="J25" s="6" t="s">
        <v>59</v>
      </c>
      <c r="K25" s="2">
        <v>38.764705882352942</v>
      </c>
      <c r="N25" s="6" t="s">
        <v>55</v>
      </c>
      <c r="O25" s="2">
        <v>4.4000000000000004</v>
      </c>
    </row>
    <row r="26" spans="1:15" x14ac:dyDescent="0.3">
      <c r="D26" s="4" t="s">
        <v>53</v>
      </c>
      <c r="E26" s="15">
        <v>13</v>
      </c>
      <c r="J26" s="6" t="s">
        <v>60</v>
      </c>
      <c r="K26" s="2">
        <v>39.9</v>
      </c>
      <c r="N26" s="6" t="s">
        <v>56</v>
      </c>
      <c r="O26" s="2">
        <v>3.4545454545454546</v>
      </c>
    </row>
    <row r="27" spans="1:15" x14ac:dyDescent="0.3">
      <c r="D27" s="4" t="s">
        <v>54</v>
      </c>
      <c r="E27" s="15">
        <v>16</v>
      </c>
      <c r="J27" s="6" t="s">
        <v>61</v>
      </c>
      <c r="K27" s="2">
        <v>41.6</v>
      </c>
      <c r="N27" s="6" t="s">
        <v>57</v>
      </c>
      <c r="O27" s="2">
        <v>4.4000000000000004</v>
      </c>
    </row>
    <row r="28" spans="1:15" x14ac:dyDescent="0.3">
      <c r="D28" s="4" t="s">
        <v>55</v>
      </c>
      <c r="E28" s="15">
        <v>20</v>
      </c>
      <c r="J28" s="6" t="s">
        <v>62</v>
      </c>
      <c r="K28" s="2">
        <v>39.470588235294116</v>
      </c>
      <c r="N28" s="6" t="s">
        <v>58</v>
      </c>
      <c r="O28" s="2">
        <v>5.833333333333333</v>
      </c>
    </row>
    <row r="29" spans="1:15" x14ac:dyDescent="0.3">
      <c r="D29" s="4" t="s">
        <v>56</v>
      </c>
      <c r="E29" s="15">
        <v>25</v>
      </c>
      <c r="J29" s="6" t="s">
        <v>63</v>
      </c>
      <c r="K29" s="2">
        <v>27.733333333333334</v>
      </c>
      <c r="N29" s="6" t="s">
        <v>59</v>
      </c>
      <c r="O29" s="2">
        <v>4.4444444444444446</v>
      </c>
    </row>
    <row r="30" spans="1:15" x14ac:dyDescent="0.3">
      <c r="D30" s="4" t="s">
        <v>57</v>
      </c>
      <c r="E30" s="15">
        <v>20</v>
      </c>
      <c r="J30" s="6" t="s">
        <v>64</v>
      </c>
      <c r="K30" s="2">
        <v>36.875</v>
      </c>
      <c r="N30" s="6" t="s">
        <v>60</v>
      </c>
      <c r="O30" s="2">
        <v>5.333333333333333</v>
      </c>
    </row>
    <row r="31" spans="1:15" x14ac:dyDescent="0.3">
      <c r="D31" s="4" t="s">
        <v>58</v>
      </c>
      <c r="E31" s="15">
        <v>14</v>
      </c>
      <c r="J31" s="6" t="s">
        <v>65</v>
      </c>
      <c r="K31" s="2">
        <v>40.333333333333336</v>
      </c>
      <c r="N31" s="6" t="s">
        <v>61</v>
      </c>
      <c r="O31" s="2">
        <v>5.333333333333333</v>
      </c>
    </row>
    <row r="32" spans="1:15" x14ac:dyDescent="0.3">
      <c r="D32" s="4" t="s">
        <v>59</v>
      </c>
      <c r="E32" s="15">
        <v>17</v>
      </c>
      <c r="J32" s="6" t="s">
        <v>66</v>
      </c>
      <c r="K32" s="2">
        <v>36.5</v>
      </c>
      <c r="N32" s="6" t="s">
        <v>62</v>
      </c>
      <c r="O32" s="2">
        <v>5.5714285714285712</v>
      </c>
    </row>
    <row r="33" spans="4:15" x14ac:dyDescent="0.3">
      <c r="D33" s="4" t="s">
        <v>60</v>
      </c>
      <c r="E33" s="15">
        <v>20</v>
      </c>
      <c r="J33" s="6" t="s">
        <v>67</v>
      </c>
      <c r="K33" s="2">
        <v>32.866666666666667</v>
      </c>
      <c r="N33" s="6" t="s">
        <v>63</v>
      </c>
      <c r="O33" s="2">
        <v>5</v>
      </c>
    </row>
    <row r="34" spans="4:15" x14ac:dyDescent="0.3">
      <c r="D34" s="4" t="s">
        <v>61</v>
      </c>
      <c r="E34" s="15">
        <v>10</v>
      </c>
      <c r="J34" s="6" t="s">
        <v>68</v>
      </c>
      <c r="K34" s="2">
        <v>36.642857142857146</v>
      </c>
      <c r="N34" s="6" t="s">
        <v>64</v>
      </c>
      <c r="O34" s="2">
        <v>6.4</v>
      </c>
    </row>
    <row r="35" spans="4:15" x14ac:dyDescent="0.3">
      <c r="D35" s="4" t="s">
        <v>62</v>
      </c>
      <c r="E35" s="15">
        <v>17</v>
      </c>
      <c r="J35" s="6" t="s">
        <v>69</v>
      </c>
      <c r="K35" s="2">
        <v>36.5625</v>
      </c>
      <c r="N35" s="6" t="s">
        <v>65</v>
      </c>
      <c r="O35" s="2">
        <v>5.333333333333333</v>
      </c>
    </row>
    <row r="36" spans="4:15" x14ac:dyDescent="0.3">
      <c r="D36" s="4" t="s">
        <v>63</v>
      </c>
      <c r="E36" s="15">
        <v>15</v>
      </c>
      <c r="J36" s="6" t="s">
        <v>70</v>
      </c>
      <c r="K36" s="2">
        <v>32.15</v>
      </c>
      <c r="N36" s="6" t="s">
        <v>66</v>
      </c>
      <c r="O36" s="2">
        <v>3.75</v>
      </c>
    </row>
    <row r="37" spans="4:15" x14ac:dyDescent="0.3">
      <c r="D37" s="4" t="s">
        <v>64</v>
      </c>
      <c r="E37" s="15">
        <v>16</v>
      </c>
      <c r="J37" s="6" t="s">
        <v>71</v>
      </c>
      <c r="K37" s="2">
        <v>38.368421052631582</v>
      </c>
      <c r="N37" s="6" t="s">
        <v>67</v>
      </c>
      <c r="O37" s="2">
        <v>6.333333333333333</v>
      </c>
    </row>
    <row r="38" spans="4:15" x14ac:dyDescent="0.3">
      <c r="D38" s="4" t="s">
        <v>65</v>
      </c>
      <c r="E38" s="15">
        <v>18</v>
      </c>
      <c r="J38" s="6" t="s">
        <v>72</v>
      </c>
      <c r="K38" s="2">
        <v>33.071428571428569</v>
      </c>
      <c r="N38" s="6" t="s">
        <v>68</v>
      </c>
      <c r="O38" s="2">
        <v>10</v>
      </c>
    </row>
    <row r="39" spans="4:15" x14ac:dyDescent="0.3">
      <c r="D39" s="4" t="s">
        <v>66</v>
      </c>
      <c r="E39" s="15">
        <v>16</v>
      </c>
      <c r="J39" s="6" t="s">
        <v>73</v>
      </c>
      <c r="K39" s="2">
        <v>36.444444444444443</v>
      </c>
      <c r="N39" s="6" t="s">
        <v>69</v>
      </c>
      <c r="O39" s="2">
        <v>5</v>
      </c>
    </row>
    <row r="40" spans="4:15" x14ac:dyDescent="0.3">
      <c r="D40" s="4" t="s">
        <v>67</v>
      </c>
      <c r="E40" s="15">
        <v>15</v>
      </c>
      <c r="J40" s="6" t="s">
        <v>5</v>
      </c>
      <c r="K40" s="2">
        <v>36.323586744639378</v>
      </c>
      <c r="N40" s="6" t="s">
        <v>70</v>
      </c>
      <c r="O40" s="2">
        <v>5.333333333333333</v>
      </c>
    </row>
    <row r="41" spans="4:15" x14ac:dyDescent="0.3">
      <c r="D41" s="4" t="s">
        <v>68</v>
      </c>
      <c r="E41" s="15">
        <v>14</v>
      </c>
      <c r="N41" s="6" t="s">
        <v>71</v>
      </c>
      <c r="O41" s="2">
        <v>4.8</v>
      </c>
    </row>
    <row r="42" spans="4:15" x14ac:dyDescent="0.3">
      <c r="D42" s="4" t="s">
        <v>69</v>
      </c>
      <c r="E42" s="15">
        <v>16</v>
      </c>
      <c r="N42" s="6" t="s">
        <v>72</v>
      </c>
      <c r="O42" s="2">
        <v>5</v>
      </c>
    </row>
    <row r="43" spans="4:15" x14ac:dyDescent="0.3">
      <c r="D43" s="4" t="s">
        <v>70</v>
      </c>
      <c r="E43" s="15">
        <v>20</v>
      </c>
      <c r="N43" s="6" t="s">
        <v>73</v>
      </c>
      <c r="O43" s="2">
        <v>1.4</v>
      </c>
    </row>
    <row r="44" spans="4:15" x14ac:dyDescent="0.3">
      <c r="D44" s="4" t="s">
        <v>71</v>
      </c>
      <c r="E44" s="15">
        <v>19</v>
      </c>
      <c r="N44" s="6" t="s">
        <v>5</v>
      </c>
      <c r="O44" s="2">
        <v>4.9591836734693882</v>
      </c>
    </row>
    <row r="45" spans="4:15" x14ac:dyDescent="0.3">
      <c r="D45" s="4" t="s">
        <v>72</v>
      </c>
      <c r="E45" s="15">
        <v>14</v>
      </c>
    </row>
    <row r="46" spans="4:15" x14ac:dyDescent="0.3">
      <c r="D46" s="4" t="s">
        <v>73</v>
      </c>
      <c r="E46" s="15">
        <v>18</v>
      </c>
    </row>
    <row r="47" spans="4:15" x14ac:dyDescent="0.3">
      <c r="D47" s="4" t="s">
        <v>5</v>
      </c>
      <c r="E47" s="15">
        <v>513</v>
      </c>
    </row>
    <row r="52" spans="1:7" ht="15" customHeight="1" x14ac:dyDescent="0.3"/>
    <row r="53" spans="1:7" x14ac:dyDescent="0.3">
      <c r="A53" s="9" t="s">
        <v>13</v>
      </c>
      <c r="B53" s="10" t="s">
        <v>17</v>
      </c>
      <c r="C53" s="10" t="s">
        <v>15</v>
      </c>
      <c r="D53" s="10" t="s">
        <v>16</v>
      </c>
      <c r="E53" s="10"/>
      <c r="F53" s="14"/>
      <c r="G53" s="11"/>
    </row>
    <row r="54" spans="1:7" x14ac:dyDescent="0.3">
      <c r="A54" s="11" t="str">
        <f>A20</f>
        <v>Admitted</v>
      </c>
      <c r="B54" s="13">
        <f>B20</f>
        <v>269</v>
      </c>
      <c r="C54" s="12">
        <f>C20</f>
        <v>0.52436647173489281</v>
      </c>
    </row>
    <row r="55" spans="1:7" x14ac:dyDescent="0.3">
      <c r="A55" s="11" t="str">
        <f>A21</f>
        <v>Not Admitted</v>
      </c>
      <c r="B55" s="13">
        <f>B21</f>
        <v>244</v>
      </c>
      <c r="C55" s="12">
        <f>C21</f>
        <v>0.47563352826510719</v>
      </c>
    </row>
    <row r="56" spans="1:7" x14ac:dyDescent="0.3">
      <c r="A56" s="11"/>
      <c r="B56" s="11"/>
      <c r="C56" s="11"/>
    </row>
    <row r="57" spans="1:7" x14ac:dyDescent="0.3">
      <c r="A57" s="11"/>
      <c r="B57" s="11"/>
      <c r="C57" s="11"/>
    </row>
    <row r="136" spans="12:13" x14ac:dyDescent="0.3">
      <c r="L136" s="16" t="s">
        <v>4</v>
      </c>
      <c r="M136" s="7" t="s">
        <v>26</v>
      </c>
    </row>
    <row r="137" spans="12:13" x14ac:dyDescent="0.3">
      <c r="L137" s="17" t="s">
        <v>18</v>
      </c>
      <c r="M137" s="7">
        <v>76</v>
      </c>
    </row>
    <row r="138" spans="12:13" x14ac:dyDescent="0.3">
      <c r="L138" s="17" t="s">
        <v>19</v>
      </c>
      <c r="M138" s="7">
        <v>69</v>
      </c>
    </row>
    <row r="139" spans="12:13" x14ac:dyDescent="0.3">
      <c r="L139" s="17" t="s">
        <v>20</v>
      </c>
      <c r="M139" s="7">
        <v>64</v>
      </c>
    </row>
    <row r="140" spans="12:13" x14ac:dyDescent="0.3">
      <c r="L140" s="17" t="s">
        <v>21</v>
      </c>
      <c r="M140" s="7">
        <v>59</v>
      </c>
    </row>
    <row r="141" spans="12:13" x14ac:dyDescent="0.3">
      <c r="L141" s="17" t="s">
        <v>22</v>
      </c>
      <c r="M141" s="7">
        <v>58</v>
      </c>
    </row>
    <row r="142" spans="12:13" x14ac:dyDescent="0.3">
      <c r="L142" s="17" t="s">
        <v>23</v>
      </c>
      <c r="M142" s="7">
        <v>66</v>
      </c>
    </row>
    <row r="143" spans="12:13" x14ac:dyDescent="0.3">
      <c r="L143" s="17" t="s">
        <v>24</v>
      </c>
      <c r="M143" s="7">
        <v>67</v>
      </c>
    </row>
    <row r="144" spans="12:13" x14ac:dyDescent="0.3">
      <c r="L144" s="17" t="s">
        <v>25</v>
      </c>
      <c r="M144" s="7">
        <v>54</v>
      </c>
    </row>
    <row r="145" spans="12:13" x14ac:dyDescent="0.3">
      <c r="L145" s="17" t="s">
        <v>5</v>
      </c>
      <c r="M145" s="7">
        <v>513</v>
      </c>
    </row>
    <row r="203" spans="2:3" x14ac:dyDescent="0.3">
      <c r="B203" s="16" t="s">
        <v>4</v>
      </c>
      <c r="C203" s="7" t="s">
        <v>27</v>
      </c>
    </row>
    <row r="204" spans="2:3" x14ac:dyDescent="0.3">
      <c r="B204" s="17" t="s">
        <v>29</v>
      </c>
      <c r="C204" s="7">
        <v>316</v>
      </c>
    </row>
    <row r="205" spans="2:3" x14ac:dyDescent="0.3">
      <c r="B205" s="17" t="s">
        <v>28</v>
      </c>
      <c r="C205" s="7">
        <v>197</v>
      </c>
    </row>
    <row r="206" spans="2:3" x14ac:dyDescent="0.3">
      <c r="B206" s="17" t="s">
        <v>5</v>
      </c>
      <c r="C206" s="7">
        <v>513</v>
      </c>
    </row>
    <row r="214" spans="1:2" x14ac:dyDescent="0.3">
      <c r="A214" s="16" t="s">
        <v>4</v>
      </c>
      <c r="B214" s="7" t="s">
        <v>32</v>
      </c>
    </row>
    <row r="215" spans="1:2" x14ac:dyDescent="0.3">
      <c r="A215" s="17" t="s">
        <v>30</v>
      </c>
      <c r="B215" s="7">
        <v>241</v>
      </c>
    </row>
    <row r="216" spans="1:2" x14ac:dyDescent="0.3">
      <c r="A216" s="17" t="s">
        <v>31</v>
      </c>
      <c r="B216" s="7">
        <v>272</v>
      </c>
    </row>
    <row r="217" spans="1:2" x14ac:dyDescent="0.3">
      <c r="A217" s="17" t="s">
        <v>5</v>
      </c>
      <c r="B217" s="7">
        <v>513</v>
      </c>
    </row>
    <row r="265" spans="6:7" x14ac:dyDescent="0.3">
      <c r="F265" s="16" t="s">
        <v>4</v>
      </c>
      <c r="G265" s="7" t="s">
        <v>41</v>
      </c>
    </row>
    <row r="266" spans="6:7" x14ac:dyDescent="0.3">
      <c r="F266" s="17" t="s">
        <v>33</v>
      </c>
      <c r="G266" s="7">
        <v>14</v>
      </c>
    </row>
    <row r="267" spans="6:7" x14ac:dyDescent="0.3">
      <c r="F267" s="17" t="s">
        <v>34</v>
      </c>
      <c r="G267" s="7">
        <v>4</v>
      </c>
    </row>
    <row r="268" spans="6:7" x14ac:dyDescent="0.3">
      <c r="F268" s="17" t="s">
        <v>35</v>
      </c>
      <c r="G268" s="7">
        <v>103</v>
      </c>
    </row>
    <row r="269" spans="6:7" x14ac:dyDescent="0.3">
      <c r="F269" s="17" t="s">
        <v>36</v>
      </c>
      <c r="G269" s="7">
        <v>9</v>
      </c>
    </row>
    <row r="270" spans="6:7" x14ac:dyDescent="0.3">
      <c r="F270" s="17" t="s">
        <v>37</v>
      </c>
      <c r="G270" s="7">
        <v>299</v>
      </c>
    </row>
    <row r="271" spans="6:7" x14ac:dyDescent="0.3">
      <c r="F271" s="17" t="s">
        <v>38</v>
      </c>
      <c r="G271" s="7">
        <v>65</v>
      </c>
    </row>
    <row r="272" spans="6:7" x14ac:dyDescent="0.3">
      <c r="F272" s="17" t="s">
        <v>39</v>
      </c>
      <c r="G272" s="7">
        <v>14</v>
      </c>
    </row>
    <row r="273" spans="6:7" x14ac:dyDescent="0.3">
      <c r="F273" s="17" t="s">
        <v>40</v>
      </c>
      <c r="G273" s="7">
        <v>5</v>
      </c>
    </row>
    <row r="274" spans="6:7" x14ac:dyDescent="0.3">
      <c r="F274" s="17" t="s">
        <v>5</v>
      </c>
      <c r="G274" s="7">
        <v>513</v>
      </c>
    </row>
    <row r="317" spans="13:13" x14ac:dyDescent="0.3">
      <c r="M317" s="16" t="s">
        <v>4</v>
      </c>
    </row>
    <row r="318" spans="13:13" x14ac:dyDescent="0.3">
      <c r="M318" s="17" t="s">
        <v>42</v>
      </c>
    </row>
    <row r="319" spans="13:13" x14ac:dyDescent="0.3">
      <c r="M319" s="17" t="s">
        <v>5</v>
      </c>
    </row>
  </sheetData>
  <phoneticPr fontId="2" type="noConversion"/>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AD9B4-54CE-42CE-8328-057FD1D0060D}">
  <dimension ref="A1:M23"/>
  <sheetViews>
    <sheetView tabSelected="1" zoomScale="190" zoomScaleNormal="190" workbookViewId="0">
      <selection activeCell="A17" sqref="A17"/>
    </sheetView>
  </sheetViews>
  <sheetFormatPr defaultRowHeight="14.4" x14ac:dyDescent="0.3"/>
  <cols>
    <col min="1" max="1" width="8.88671875" customWidth="1"/>
    <col min="12" max="12" width="1.6640625" customWidth="1"/>
    <col min="13" max="13" width="0.109375" customWidth="1"/>
  </cols>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row r="17" spans="1:13" x14ac:dyDescent="0.3">
      <c r="A17" s="3">
        <v>11</v>
      </c>
      <c r="B17" s="3"/>
      <c r="C17" s="3"/>
      <c r="D17" s="3"/>
      <c r="E17" s="3"/>
      <c r="F17" s="3"/>
      <c r="G17" s="3"/>
      <c r="H17" s="3"/>
      <c r="I17" s="3"/>
      <c r="J17" s="3"/>
      <c r="K17" s="3"/>
      <c r="L17" s="3"/>
      <c r="M17" s="3"/>
    </row>
    <row r="18" spans="1:13" x14ac:dyDescent="0.3">
      <c r="A18" s="3"/>
      <c r="B18" s="3"/>
      <c r="C18" s="3"/>
      <c r="D18" s="3"/>
      <c r="E18" s="3"/>
      <c r="F18" s="3"/>
      <c r="G18" s="3"/>
      <c r="H18" s="3"/>
      <c r="I18" s="3"/>
      <c r="J18" s="3"/>
      <c r="K18" s="3"/>
      <c r="L18" s="3"/>
      <c r="M18" s="3"/>
    </row>
    <row r="19" spans="1:13" x14ac:dyDescent="0.3">
      <c r="A19" s="3"/>
      <c r="B19" s="3"/>
      <c r="C19" s="3"/>
      <c r="D19" s="3"/>
      <c r="E19" s="3"/>
      <c r="F19" s="3"/>
      <c r="G19" s="3"/>
      <c r="H19" s="3"/>
      <c r="I19" s="3"/>
      <c r="J19" s="3"/>
      <c r="K19" s="3"/>
      <c r="L19" s="3"/>
      <c r="M19" s="3"/>
    </row>
    <row r="20" spans="1:13" x14ac:dyDescent="0.3">
      <c r="A20" s="3"/>
      <c r="B20" s="3"/>
      <c r="C20" s="3"/>
      <c r="D20" s="3"/>
      <c r="E20" s="3"/>
      <c r="F20" s="3"/>
      <c r="G20" s="3"/>
      <c r="H20" s="3"/>
      <c r="I20" s="3"/>
      <c r="J20" s="3"/>
      <c r="K20" s="3"/>
      <c r="L20" s="3"/>
      <c r="M20" s="3"/>
    </row>
    <row r="21" spans="1:13" x14ac:dyDescent="0.3">
      <c r="A21" s="3"/>
      <c r="B21" s="3"/>
      <c r="C21" s="3"/>
      <c r="D21" s="3"/>
      <c r="E21" s="3"/>
      <c r="F21" s="3"/>
      <c r="G21" s="3"/>
      <c r="H21" s="3"/>
      <c r="I21" s="3"/>
      <c r="J21" s="3"/>
      <c r="K21" s="3"/>
      <c r="L21" s="3"/>
      <c r="M21" s="3"/>
    </row>
    <row r="22" spans="1:13" x14ac:dyDescent="0.3">
      <c r="A22" s="3"/>
      <c r="B22" s="3"/>
      <c r="C22" s="3"/>
      <c r="D22" s="3"/>
      <c r="E22" s="3"/>
      <c r="F22" s="3"/>
      <c r="G22" s="3"/>
      <c r="H22" s="3"/>
      <c r="I22" s="3"/>
      <c r="J22" s="3"/>
      <c r="K22" s="3"/>
      <c r="L22" s="3"/>
      <c r="M22" s="3"/>
    </row>
    <row r="23" spans="1:13" x14ac:dyDescent="0.3">
      <c r="A23" s="3"/>
      <c r="B23" s="3"/>
      <c r="C23" s="3"/>
      <c r="D23" s="3"/>
      <c r="E23" s="3"/>
      <c r="F23" s="3"/>
      <c r="G23" s="3"/>
      <c r="H23" s="3"/>
      <c r="I23" s="3"/>
      <c r="J23" s="3"/>
      <c r="K23" s="3"/>
      <c r="L23" s="3"/>
      <c r="M23"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5280-50DD-4DE5-B205-6C17E99A8E9C}">
  <dimension ref="A1"/>
  <sheetViews>
    <sheetView workbookViewId="0"/>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EEAC-D8B0-4430-8653-9260B06F77F7}">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8BABB-1B79-4302-89DC-D44878CA9224}">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DC969F5-73E8-4672-8EAC-4FCE9029F55C}">
  <ds:schemaRefs/>
</ds:datastoreItem>
</file>

<file path=customXml/itemProps2.xml><?xml version="1.0" encoding="utf-8"?>
<ds:datastoreItem xmlns:ds="http://schemas.openxmlformats.org/officeDocument/2006/customXml" ds:itemID="{4BF3D132-DCE6-40F3-91B7-6931A07C5A9C}">
  <ds:schemaRefs/>
</ds:datastoreItem>
</file>

<file path=customXml/itemProps3.xml><?xml version="1.0" encoding="utf-8"?>
<ds:datastoreItem xmlns:ds="http://schemas.openxmlformats.org/officeDocument/2006/customXml" ds:itemID="{D09B540E-F591-47E0-8F8D-3E530E4A46F7}">
  <ds:schemaRefs>
    <ds:schemaRef ds:uri="http://schemas.microsoft.com/DataMashup"/>
  </ds:schemaRefs>
</ds:datastoreItem>
</file>

<file path=customXml/itemProps4.xml><?xml version="1.0" encoding="utf-8"?>
<ds:datastoreItem xmlns:ds="http://schemas.openxmlformats.org/officeDocument/2006/customXml" ds:itemID="{19FAA435-7F06-4884-B081-2BC0190D5073}">
  <ds:schemaRefs/>
</ds:datastoreItem>
</file>

<file path=customXml/itemProps5.xml><?xml version="1.0" encoding="utf-8"?>
<ds:datastoreItem xmlns:ds="http://schemas.openxmlformats.org/officeDocument/2006/customXml" ds:itemID="{65F868D5-581D-4CC8-A850-9023FD3BD07C}">
  <ds:schemaRefs/>
</ds:datastoreItem>
</file>

<file path=customXml/itemProps6.xml><?xml version="1.0" encoding="utf-8"?>
<ds:datastoreItem xmlns:ds="http://schemas.openxmlformats.org/officeDocument/2006/customXml" ds:itemID="{27939CD2-95F0-4438-A495-6C5131EBE9AB}">
  <ds:schemaRefs/>
</ds:datastoreItem>
</file>

<file path=customXml/itemProps7.xml><?xml version="1.0" encoding="utf-8"?>
<ds:datastoreItem xmlns:ds="http://schemas.openxmlformats.org/officeDocument/2006/customXml" ds:itemID="{722460D6-2342-4C11-922F-9042B622C573}">
  <ds:schemaRefs/>
</ds:datastoreItem>
</file>

<file path=customXml/itemProps8.xml><?xml version="1.0" encoding="utf-8"?>
<ds:datastoreItem xmlns:ds="http://schemas.openxmlformats.org/officeDocument/2006/customXml" ds:itemID="{6B9D3B71-F733-4A4E-9886-54969608B632}">
  <ds:schemaRefs/>
</ds:datastoreItem>
</file>

<file path=customXml/itemProps9.xml><?xml version="1.0" encoding="utf-8"?>
<ds:datastoreItem xmlns:ds="http://schemas.openxmlformats.org/officeDocument/2006/customXml" ds:itemID="{427B733D-026E-4935-BD34-040859238020}">
  <ds:schemaRefs/>
</ds:datastoreItem>
</file>

<file path=customXml/itemProps10.xml><?xml version="1.0" encoding="utf-8"?>
<ds:datastoreItem xmlns:ds="http://schemas.openxmlformats.org/officeDocument/2006/customXml" ds:itemID="{47BA3B12-4046-4ADD-9BD4-5F82A34DF287}">
  <ds:schemaRefs/>
</ds:datastoreItem>
</file>

<file path=customXml/itemProps11.xml><?xml version="1.0" encoding="utf-8"?>
<ds:datastoreItem xmlns:ds="http://schemas.openxmlformats.org/officeDocument/2006/customXml" ds:itemID="{D884E7EC-7B2F-4FBA-BEAA-0C1EE3895FE4}">
  <ds:schemaRefs/>
</ds:datastoreItem>
</file>

<file path=customXml/itemProps12.xml><?xml version="1.0" encoding="utf-8"?>
<ds:datastoreItem xmlns:ds="http://schemas.openxmlformats.org/officeDocument/2006/customXml" ds:itemID="{AEEB617A-F665-4DC7-9472-8F66F29B974C}">
  <ds:schemaRefs/>
</ds:datastoreItem>
</file>

<file path=customXml/itemProps13.xml><?xml version="1.0" encoding="utf-8"?>
<ds:datastoreItem xmlns:ds="http://schemas.openxmlformats.org/officeDocument/2006/customXml" ds:itemID="{61A358A9-EFB1-46EA-92E6-CB86D5D2B87B}">
  <ds:schemaRefs/>
</ds:datastoreItem>
</file>

<file path=customXml/itemProps14.xml><?xml version="1.0" encoding="utf-8"?>
<ds:datastoreItem xmlns:ds="http://schemas.openxmlformats.org/officeDocument/2006/customXml" ds:itemID="{39675465-EF1F-4E4C-9144-DF85651A01BA}">
  <ds:schemaRefs/>
</ds:datastoreItem>
</file>

<file path=customXml/itemProps15.xml><?xml version="1.0" encoding="utf-8"?>
<ds:datastoreItem xmlns:ds="http://schemas.openxmlformats.org/officeDocument/2006/customXml" ds:itemID="{DBA01163-A0E0-4406-B5F5-BE5C38737A25}">
  <ds:schemaRefs/>
</ds:datastoreItem>
</file>

<file path=customXml/itemProps16.xml><?xml version="1.0" encoding="utf-8"?>
<ds:datastoreItem xmlns:ds="http://schemas.openxmlformats.org/officeDocument/2006/customXml" ds:itemID="{E5840B30-6E5A-4B56-95EE-4F0EA4792EEA}">
  <ds:schemaRefs/>
</ds:datastoreItem>
</file>

<file path=customXml/itemProps17.xml><?xml version="1.0" encoding="utf-8"?>
<ds:datastoreItem xmlns:ds="http://schemas.openxmlformats.org/officeDocument/2006/customXml" ds:itemID="{A10A1086-2C26-494A-8A1C-621CD02CA294}">
  <ds:schemaRefs/>
</ds:datastoreItem>
</file>

<file path=customXml/itemProps18.xml><?xml version="1.0" encoding="utf-8"?>
<ds:datastoreItem xmlns:ds="http://schemas.openxmlformats.org/officeDocument/2006/customXml" ds:itemID="{D991986B-FC49-48D3-9F72-4461B5A45F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EV No.of patient</vt:lpstr>
      <vt:lpstr>satisfaction scores 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kumari</dc:creator>
  <cp:lastModifiedBy>sneha kumari</cp:lastModifiedBy>
  <dcterms:created xsi:type="dcterms:W3CDTF">2026-07-17T07:41:59Z</dcterms:created>
  <dcterms:modified xsi:type="dcterms:W3CDTF">2026-07-18T08:08:13Z</dcterms:modified>
</cp:coreProperties>
</file>